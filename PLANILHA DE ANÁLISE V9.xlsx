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irger\Desktop\"/>
    </mc:Choice>
  </mc:AlternateContent>
  <bookViews>
    <workbookView xWindow="0" yWindow="0" windowWidth="20490" windowHeight="7755"/>
  </bookViews>
  <sheets>
    <sheet name="DADOS" sheetId="1" r:id="rId1"/>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3" i="1" l="1"/>
  <c r="C80" i="1" l="1"/>
  <c r="C48" i="1"/>
  <c r="H9" i="1" l="1"/>
  <c r="A35" i="1" l="1"/>
  <c r="A34" i="1"/>
  <c r="H21" i="1" l="1"/>
  <c r="H14" i="1" l="1"/>
  <c r="A30" i="1" l="1"/>
  <c r="F25" i="1" l="1"/>
  <c r="H19" i="1" s="1"/>
  <c r="F19" i="1"/>
  <c r="H5" i="1"/>
  <c r="H13" i="1"/>
  <c r="H12" i="1"/>
  <c r="H18" i="1" l="1"/>
  <c r="C74" i="1"/>
  <c r="H33" i="1" s="1"/>
  <c r="C68" i="1"/>
  <c r="H23" i="1" s="1"/>
  <c r="C60" i="1"/>
  <c r="H6" i="1"/>
  <c r="A13" i="1"/>
  <c r="C51" i="1"/>
  <c r="H16" i="1" s="1"/>
  <c r="F56" i="1" l="1"/>
  <c r="F57" i="1" s="1"/>
  <c r="C64" i="1" l="1"/>
  <c r="H7" i="1"/>
  <c r="C41" i="1"/>
  <c r="H3" i="1" s="1"/>
  <c r="A19" i="1" l="1"/>
  <c r="F58" i="1" l="1"/>
  <c r="F59" i="1"/>
  <c r="C55" i="1"/>
  <c r="H39" i="1" l="1"/>
  <c r="A25" i="1"/>
  <c r="C54" i="1"/>
  <c r="H28" i="1" s="1"/>
  <c r="A24" i="1"/>
  <c r="A18" i="1"/>
  <c r="C45" i="1" l="1"/>
  <c r="C47" i="1"/>
  <c r="C44" i="1"/>
</calcChain>
</file>

<file path=xl/sharedStrings.xml><?xml version="1.0" encoding="utf-8"?>
<sst xmlns="http://schemas.openxmlformats.org/spreadsheetml/2006/main" count="48" uniqueCount="45">
  <si>
    <t>Há alguma despesa rateada separadamente, dentro da conta ordinária, como água e gás? (Sim ou Não)</t>
  </si>
  <si>
    <t>Valor das despesas ordinárias</t>
  </si>
  <si>
    <t>Valor das receitas ordinárias totais</t>
  </si>
  <si>
    <t>Há alguma receita rateada separadamente, dentro da conta ordinária, como água e gás? (Sim ou Não)</t>
  </si>
  <si>
    <t>Valor do recebimento de cotas em aberto (preencher com '0' caso não tenha ocorrido recebimento)</t>
  </si>
  <si>
    <t>PREENCHER SOMENTE AS CÉLULAS EM AMARELO</t>
  </si>
  <si>
    <t>ANÁLISE DOS DADOS</t>
  </si>
  <si>
    <t>Despesas x Previsão:</t>
  </si>
  <si>
    <t>Diferença Previsto x Realizado
(Despesas)</t>
  </si>
  <si>
    <t>Receitas x Previsão:</t>
  </si>
  <si>
    <t>Diferença Previsto x Realizado
(Receitas)</t>
  </si>
  <si>
    <t>Valor da receita ordinária proveniente do pagamento do boleto do mês</t>
  </si>
  <si>
    <t>Receitas rateadas separadamente:</t>
  </si>
  <si>
    <t>AVALIAÇÃO DA CONTA ORDINÁRIA</t>
  </si>
  <si>
    <t>Saldo da Conta Ordinária</t>
  </si>
  <si>
    <t>Receitas x Despesas (R$)</t>
  </si>
  <si>
    <t>Receitas x Despesas (%)</t>
  </si>
  <si>
    <t>Déficit ou Superávit?</t>
  </si>
  <si>
    <t>Redução ou Aumento</t>
  </si>
  <si>
    <t>Há despesas rateadas separadamente?</t>
  </si>
  <si>
    <t>[INCLUIR RESUMO DOS SALDOS DOS ÚLTIMOS MESES]</t>
  </si>
  <si>
    <t>[SE EXISTIR INFORMAÇÃO RELEVANTE SOBRE AS DEMAIS CONTAS CONTÁBEIS, COMENTAR]</t>
  </si>
  <si>
    <t>Justificativa saldo da Conta Ordinária</t>
  </si>
  <si>
    <t>SUGESTÃO DE TEXTO</t>
  </si>
  <si>
    <t>Mês do balancete</t>
  </si>
  <si>
    <t>NÃO</t>
  </si>
  <si>
    <t>SALDO</t>
  </si>
  <si>
    <t>DESPESAS ORDINÁRIAS</t>
  </si>
  <si>
    <t>RECEITAS ORDINÁRIAS</t>
  </si>
  <si>
    <t>REFERÊNCIA DO BALANCETE</t>
  </si>
  <si>
    <t>LOCAÇÃO</t>
  </si>
  <si>
    <t>Há receita com locação de áreas comuns (casa do zelador, antena, etc) dentro da Ordinária? (Sim ou Não)</t>
  </si>
  <si>
    <t>RECEITAS ORDINÁRIAS (EMITIDO X RECEBIDO)</t>
  </si>
  <si>
    <t>[FALAR SOBRE A INADIMPLÊNCIA TOTAL]</t>
  </si>
  <si>
    <t>[INFORMAR SE O SALDO TOTAL É BOM OU RUIM, E DAR AS DEVIDAS RECOMENDAÇÕES]</t>
  </si>
  <si>
    <t>[SE EXISTIR CONTA CONSUMOS, EXPLICAR A MOVIMENTAÇÃO DO MÊS]</t>
  </si>
  <si>
    <t>TRANSFERÊNCIA CONTÁBIL</t>
  </si>
  <si>
    <t>Houve alguma transferência contábil em favor da conta Ordinária? (Sim ou Não)</t>
  </si>
  <si>
    <t>Transferência Contábil</t>
  </si>
  <si>
    <t>COTAS ANTECIPADAS</t>
  </si>
  <si>
    <t>As cotas antecipadas são contabilizadas? (Sim ou Não)</t>
  </si>
  <si>
    <t>Antecipações</t>
  </si>
  <si>
    <t>Repetição de Análise</t>
  </si>
  <si>
    <t>Se conclusão da receita do mês é a mesma da receita efetiva (palavra "também")</t>
  </si>
  <si>
    <r>
      <t xml:space="preserve">Valor da previsão (emissão da </t>
    </r>
    <r>
      <rPr>
        <b/>
        <u/>
        <sz val="11"/>
        <color theme="1"/>
        <rFont val="Calibri"/>
        <family val="2"/>
        <scheme val="minor"/>
      </rPr>
      <t>Conta Ordinária</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</si>
</sst>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R$&quot;\ * #,##0.00_-;\-&quot;R$&quot;\ * #,##0.00_-;_-&quot;R$&quot;\ * &quot;-&quot;??_-;_-@_-"/>
    <numFmt numFmtId="43" formatCode="_-* #,##0.00_-;\-* #,##0.00_-;_-* &quot;-&quot;??_-;_-@_-"/>
  </numFmts>
  <fonts count="11" x14ac:knownFonts="1">
    <font>
      <sz val="11"/>
      <color theme="1"/>
      <name val="Calibri"/>
      <family val="2"/>
      <scheme val="minor"/>
    </font>
    <font>
      <b/>
      <sz val="11"/>
      <color theme="1"/>
      <name val="Calibri"/>
      <family val="2"/>
      <scheme val="minor"/>
    </font>
    <font>
      <b/>
      <sz val="20"/>
      <color theme="1"/>
      <name val="Calibri"/>
      <family val="2"/>
      <scheme val="minor"/>
    </font>
    <font>
      <b/>
      <sz val="15"/>
      <color theme="1"/>
      <name val="Calibri"/>
      <family val="2"/>
      <scheme val="minor"/>
    </font>
    <font>
      <b/>
      <sz val="11"/>
      <color rgb="FFFF0000"/>
      <name val="Calibri"/>
      <family val="2"/>
      <scheme val="minor"/>
    </font>
    <font>
      <b/>
      <sz val="11"/>
      <color theme="0"/>
      <name val="Calibri"/>
      <family val="2"/>
      <scheme val="minor"/>
    </font>
    <font>
      <sz val="11"/>
      <color theme="0"/>
      <name val="Calibri"/>
      <family val="2"/>
      <scheme val="minor"/>
    </font>
    <font>
      <b/>
      <sz val="9"/>
      <color rgb="FFFF0000"/>
      <name val="Calibri"/>
      <family val="2"/>
      <scheme val="minor"/>
    </font>
    <font>
      <sz val="8"/>
      <color theme="1"/>
      <name val="Calibri"/>
      <family val="2"/>
      <scheme val="minor"/>
    </font>
    <font>
      <sz val="11"/>
      <name val="Calibri"/>
      <family val="2"/>
      <scheme val="minor"/>
    </font>
    <font>
      <b/>
      <u/>
      <sz val="11"/>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tint="0.59999389629810485"/>
        <bgColor indexed="64"/>
      </patternFill>
    </fill>
    <fill>
      <patternFill patternType="solid">
        <fgColor theme="0" tint="-0.14999847407452621"/>
        <bgColor indexed="64"/>
      </patternFill>
    </fill>
  </fills>
  <borders count="19">
    <border>
      <left/>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81">
    <xf numFmtId="0" fontId="0" fillId="0" borderId="0" xfId="0"/>
    <xf numFmtId="44" fontId="0" fillId="0" borderId="6" xfId="0" applyNumberFormat="1" applyBorder="1"/>
    <xf numFmtId="44" fontId="0" fillId="0" borderId="7" xfId="0" applyNumberFormat="1" applyBorder="1"/>
    <xf numFmtId="44" fontId="0" fillId="2" borderId="4" xfId="0" applyNumberFormat="1" applyFill="1" applyBorder="1" applyAlignment="1">
      <alignment horizontal="center"/>
    </xf>
    <xf numFmtId="0" fontId="0" fillId="2" borderId="5" xfId="0" applyFill="1" applyBorder="1" applyAlignment="1">
      <alignment horizontal="center"/>
    </xf>
    <xf numFmtId="44" fontId="0" fillId="2" borderId="5" xfId="0" applyNumberFormat="1" applyFill="1" applyBorder="1"/>
    <xf numFmtId="44" fontId="0" fillId="2" borderId="4" xfId="0" applyNumberFormat="1" applyFill="1" applyBorder="1"/>
    <xf numFmtId="44" fontId="0" fillId="2" borderId="6" xfId="0" applyNumberFormat="1" applyFill="1" applyBorder="1"/>
    <xf numFmtId="0" fontId="0" fillId="3" borderId="0" xfId="0" applyFill="1" applyAlignment="1">
      <alignment horizontal="left"/>
    </xf>
    <xf numFmtId="0" fontId="0" fillId="3" borderId="0" xfId="0" applyFill="1"/>
    <xf numFmtId="44" fontId="0" fillId="2" borderId="14" xfId="0" applyNumberFormat="1" applyFill="1" applyBorder="1"/>
    <xf numFmtId="0" fontId="0" fillId="0" borderId="5" xfId="0" applyFill="1" applyBorder="1" applyAlignment="1">
      <alignment horizontal="center"/>
    </xf>
    <xf numFmtId="0" fontId="1" fillId="3" borderId="0" xfId="0" applyFont="1" applyFill="1" applyAlignment="1">
      <alignment horizontal="justify" vertical="center"/>
    </xf>
    <xf numFmtId="0" fontId="1" fillId="3" borderId="0" xfId="0" applyFont="1" applyFill="1" applyAlignment="1">
      <alignment horizontal="left" vertical="center" wrapText="1"/>
    </xf>
    <xf numFmtId="0" fontId="1" fillId="5" borderId="0" xfId="0" applyFont="1" applyFill="1" applyAlignment="1">
      <alignment horizontal="justify" vertical="center"/>
    </xf>
    <xf numFmtId="44" fontId="0" fillId="3" borderId="0" xfId="0" applyNumberFormat="1" applyFill="1" applyAlignment="1">
      <alignment horizontal="justify" vertical="top" wrapText="1"/>
    </xf>
    <xf numFmtId="44" fontId="0" fillId="3" borderId="0" xfId="0" applyNumberFormat="1" applyFill="1"/>
    <xf numFmtId="43" fontId="0" fillId="3" borderId="0" xfId="0" applyNumberFormat="1" applyFill="1"/>
    <xf numFmtId="0" fontId="0" fillId="3" borderId="0" xfId="0" applyFill="1" applyAlignment="1">
      <alignment wrapText="1"/>
    </xf>
    <xf numFmtId="0" fontId="1" fillId="3" borderId="0" xfId="0" applyFont="1" applyFill="1" applyAlignment="1">
      <alignment horizontal="center"/>
    </xf>
    <xf numFmtId="0" fontId="4" fillId="3" borderId="0" xfId="0" applyFont="1" applyFill="1" applyAlignment="1">
      <alignment horizontal="center" vertical="top" wrapText="1"/>
    </xf>
    <xf numFmtId="43" fontId="0" fillId="5" borderId="0" xfId="0" applyNumberFormat="1" applyFill="1" applyAlignment="1">
      <alignment horizontal="justify" vertical="center" wrapText="1"/>
    </xf>
    <xf numFmtId="0" fontId="0" fillId="5" borderId="0" xfId="0" applyFill="1" applyAlignment="1">
      <alignment horizontal="justify" vertical="center" wrapText="1"/>
    </xf>
    <xf numFmtId="44" fontId="0" fillId="3" borderId="0" xfId="0" applyNumberFormat="1" applyFill="1" applyAlignment="1">
      <alignment horizontal="justify" vertical="top" wrapText="1"/>
    </xf>
    <xf numFmtId="17" fontId="0" fillId="2" borderId="15" xfId="0" applyNumberFormat="1" applyFill="1" applyBorder="1"/>
    <xf numFmtId="0" fontId="1" fillId="3" borderId="0" xfId="0" applyFont="1" applyFill="1" applyAlignment="1">
      <alignment horizontal="center"/>
    </xf>
    <xf numFmtId="44" fontId="0" fillId="2" borderId="15" xfId="0" applyNumberFormat="1" applyFill="1" applyBorder="1"/>
    <xf numFmtId="0" fontId="1" fillId="5" borderId="0" xfId="0" applyFont="1" applyFill="1" applyAlignment="1">
      <alignment horizontal="justify" vertical="center"/>
    </xf>
    <xf numFmtId="0" fontId="1" fillId="3" borderId="0" xfId="0" applyFont="1" applyFill="1" applyAlignment="1">
      <alignment horizontal="justify" vertical="center"/>
    </xf>
    <xf numFmtId="0" fontId="1" fillId="3" borderId="0" xfId="0" applyFont="1" applyFill="1" applyAlignment="1">
      <alignment horizontal="center"/>
    </xf>
    <xf numFmtId="0" fontId="9" fillId="3" borderId="0" xfId="0" applyFont="1" applyFill="1" applyAlignment="1">
      <alignment horizontal="justify" vertical="top" wrapText="1"/>
    </xf>
    <xf numFmtId="0" fontId="0" fillId="0" borderId="0" xfId="0" applyAlignment="1"/>
    <xf numFmtId="0" fontId="1" fillId="5" borderId="0" xfId="0" applyFont="1" applyFill="1" applyAlignment="1">
      <alignment horizontal="justify" vertical="center"/>
    </xf>
    <xf numFmtId="0" fontId="0" fillId="5" borderId="0" xfId="0" applyFont="1" applyFill="1" applyAlignment="1">
      <alignment horizontal="justify" vertical="center"/>
    </xf>
    <xf numFmtId="44" fontId="0" fillId="0" borderId="0" xfId="0" applyNumberFormat="1"/>
    <xf numFmtId="0" fontId="1" fillId="3" borderId="0" xfId="0" applyFont="1" applyFill="1" applyAlignment="1">
      <alignment horizontal="center"/>
    </xf>
    <xf numFmtId="0" fontId="1" fillId="3" borderId="0" xfId="0" applyFont="1" applyFill="1" applyAlignment="1">
      <alignment horizontal="justify" vertical="center"/>
    </xf>
    <xf numFmtId="0" fontId="0" fillId="3" borderId="0" xfId="0" applyFill="1" applyAlignment="1">
      <alignment horizontal="justify" vertical="top" wrapText="1"/>
    </xf>
    <xf numFmtId="0" fontId="1" fillId="5" borderId="0" xfId="0" applyFont="1" applyFill="1" applyAlignment="1">
      <alignment horizontal="justify" vertical="center"/>
    </xf>
    <xf numFmtId="0" fontId="0" fillId="5" borderId="0" xfId="0" applyFill="1" applyAlignment="1">
      <alignment horizontal="justify" vertical="top" wrapText="1"/>
    </xf>
    <xf numFmtId="0" fontId="4" fillId="3" borderId="0" xfId="0" applyFont="1" applyFill="1" applyAlignment="1">
      <alignment horizontal="center"/>
    </xf>
    <xf numFmtId="0" fontId="1" fillId="3" borderId="0" xfId="0" applyFont="1" applyFill="1" applyAlignment="1">
      <alignment horizontal="justify" vertical="top"/>
    </xf>
    <xf numFmtId="0" fontId="0" fillId="3" borderId="0" xfId="0" applyNumberFormat="1" applyFill="1" applyAlignment="1">
      <alignment horizontal="justify" vertical="top" wrapText="1"/>
    </xf>
    <xf numFmtId="0" fontId="1" fillId="5" borderId="0" xfId="0" applyFont="1" applyFill="1" applyAlignment="1">
      <alignment horizontal="left" vertical="center"/>
    </xf>
    <xf numFmtId="0" fontId="0" fillId="3" borderId="0" xfId="0" applyFill="1" applyAlignment="1">
      <alignment horizontal="justify" vertical="center" wrapText="1"/>
    </xf>
    <xf numFmtId="44" fontId="0" fillId="5" borderId="0" xfId="0" applyNumberFormat="1" applyFill="1" applyAlignment="1">
      <alignment horizontal="justify" vertical="center" wrapText="1"/>
    </xf>
    <xf numFmtId="0" fontId="5" fillId="3" borderId="0" xfId="0" applyFont="1" applyFill="1" applyAlignment="1">
      <alignment horizontal="left" vertical="center"/>
    </xf>
    <xf numFmtId="0" fontId="6" fillId="3" borderId="0" xfId="0" applyFont="1" applyFill="1" applyAlignment="1">
      <alignment horizontal="justify" vertical="center" wrapText="1"/>
    </xf>
    <xf numFmtId="43" fontId="0" fillId="3" borderId="0" xfId="0" applyNumberFormat="1" applyFill="1" applyAlignment="1">
      <alignment horizontal="justify" vertical="center" wrapText="1"/>
    </xf>
    <xf numFmtId="44" fontId="8" fillId="3" borderId="0" xfId="0" applyNumberFormat="1" applyFont="1" applyFill="1" applyAlignment="1">
      <alignment horizontal="justify" vertical="center" wrapText="1"/>
    </xf>
    <xf numFmtId="0" fontId="1" fillId="3" borderId="0" xfId="0" applyFont="1" applyFill="1" applyAlignment="1">
      <alignment horizontal="left" vertical="center" wrapText="1"/>
    </xf>
    <xf numFmtId="43" fontId="0" fillId="5" borderId="0" xfId="0" applyNumberFormat="1" applyFill="1" applyAlignment="1">
      <alignment horizontal="justify" vertical="center" wrapText="1"/>
    </xf>
    <xf numFmtId="0" fontId="1" fillId="5" borderId="0" xfId="0" applyFont="1" applyFill="1" applyAlignment="1">
      <alignment horizontal="left" vertical="center" wrapText="1"/>
    </xf>
    <xf numFmtId="0" fontId="0" fillId="5" borderId="0" xfId="0" applyFill="1" applyAlignment="1">
      <alignment horizontal="justify" vertical="center" wrapText="1"/>
    </xf>
    <xf numFmtId="0" fontId="3" fillId="3" borderId="0" xfId="0" applyFont="1" applyFill="1" applyAlignment="1">
      <alignment horizontal="center" vertical="center" wrapText="1"/>
    </xf>
    <xf numFmtId="0" fontId="3" fillId="3" borderId="0" xfId="0" applyFont="1" applyFill="1" applyAlignment="1">
      <alignment horizontal="center" vertical="center"/>
    </xf>
    <xf numFmtId="0" fontId="2" fillId="2" borderId="0" xfId="0" applyFont="1" applyFill="1" applyAlignment="1">
      <alignment horizontal="center"/>
    </xf>
    <xf numFmtId="44" fontId="0" fillId="3" borderId="0" xfId="0" applyNumberFormat="1" applyFill="1" applyAlignment="1">
      <alignment horizontal="left" vertical="top" wrapText="1"/>
    </xf>
    <xf numFmtId="0" fontId="0" fillId="0" borderId="1" xfId="0" applyBorder="1" applyAlignment="1">
      <alignment horizontal="left"/>
    </xf>
    <xf numFmtId="0" fontId="0" fillId="0" borderId="8" xfId="0" applyBorder="1" applyAlignment="1">
      <alignment horizontal="left"/>
    </xf>
    <xf numFmtId="0" fontId="0" fillId="0" borderId="9" xfId="0" applyBorder="1" applyAlignment="1">
      <alignment horizontal="left"/>
    </xf>
    <xf numFmtId="0" fontId="3" fillId="3" borderId="0" xfId="0" applyFont="1" applyFill="1" applyAlignment="1">
      <alignment horizontal="center"/>
    </xf>
    <xf numFmtId="0" fontId="0" fillId="0" borderId="3" xfId="0" applyBorder="1" applyAlignment="1">
      <alignment horizontal="left"/>
    </xf>
    <xf numFmtId="0" fontId="0" fillId="0" borderId="12" xfId="0" applyBorder="1" applyAlignment="1">
      <alignment horizontal="left"/>
    </xf>
    <xf numFmtId="0" fontId="0" fillId="0" borderId="13" xfId="0" applyBorder="1" applyAlignment="1">
      <alignment horizontal="left"/>
    </xf>
    <xf numFmtId="0" fontId="4" fillId="3" borderId="0" xfId="0" applyFont="1" applyFill="1" applyAlignment="1">
      <alignment horizontal="center" vertical="top" wrapText="1"/>
    </xf>
    <xf numFmtId="0" fontId="0" fillId="0" borderId="16" xfId="0" applyBorder="1" applyAlignment="1">
      <alignment horizontal="left"/>
    </xf>
    <xf numFmtId="0" fontId="0" fillId="0" borderId="17" xfId="0" applyBorder="1" applyAlignment="1">
      <alignment horizontal="left"/>
    </xf>
    <xf numFmtId="0" fontId="1" fillId="4" borderId="16" xfId="0" applyFont="1" applyFill="1" applyBorder="1" applyAlignment="1">
      <alignment horizontal="center"/>
    </xf>
    <xf numFmtId="0" fontId="1" fillId="4" borderId="17" xfId="0" applyFont="1" applyFill="1" applyBorder="1" applyAlignment="1">
      <alignment horizontal="center"/>
    </xf>
    <xf numFmtId="0" fontId="1" fillId="4" borderId="18" xfId="0" applyFont="1" applyFill="1" applyBorder="1" applyAlignment="1">
      <alignment horizontal="center"/>
    </xf>
    <xf numFmtId="44" fontId="0" fillId="3" borderId="0" xfId="0" applyNumberFormat="1" applyFill="1" applyAlignment="1">
      <alignment horizontal="justify" vertical="top" wrapText="1"/>
    </xf>
    <xf numFmtId="0" fontId="0" fillId="3" borderId="0" xfId="0" applyFill="1" applyAlignment="1">
      <alignment horizontal="left" vertical="top" wrapText="1"/>
    </xf>
    <xf numFmtId="0" fontId="0" fillId="3" borderId="0" xfId="0" applyFont="1" applyFill="1" applyAlignment="1">
      <alignment horizontal="justify" wrapText="1"/>
    </xf>
    <xf numFmtId="0" fontId="0" fillId="0" borderId="2" xfId="0" applyBorder="1" applyAlignment="1">
      <alignment horizontal="left"/>
    </xf>
    <xf numFmtId="0" fontId="0" fillId="0" borderId="10" xfId="0" applyBorder="1" applyAlignment="1">
      <alignment horizontal="left"/>
    </xf>
    <xf numFmtId="0" fontId="0" fillId="0" borderId="11" xfId="0" applyBorder="1" applyAlignment="1">
      <alignment horizontal="left"/>
    </xf>
    <xf numFmtId="0" fontId="7" fillId="3" borderId="0" xfId="0" applyFont="1" applyFill="1" applyAlignment="1">
      <alignment horizontal="center" vertical="top" wrapText="1"/>
    </xf>
    <xf numFmtId="0" fontId="1" fillId="4" borderId="0" xfId="0" applyFont="1" applyFill="1" applyAlignment="1">
      <alignment horizontal="center" vertical="center"/>
    </xf>
    <xf numFmtId="0" fontId="0" fillId="0" borderId="18" xfId="0" applyBorder="1" applyAlignment="1">
      <alignment horizontal="left"/>
    </xf>
    <xf numFmtId="0" fontId="9" fillId="3" borderId="0" xfId="0" applyFont="1" applyFill="1" applyAlignment="1">
      <alignment horizontal="justify"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1"/>
  <sheetViews>
    <sheetView tabSelected="1" topLeftCell="C25" zoomScaleNormal="100" zoomScaleSheetLayoutView="100" workbookViewId="0">
      <selection activeCell="H3" sqref="H3:L42"/>
    </sheetView>
  </sheetViews>
  <sheetFormatPr defaultRowHeight="15" x14ac:dyDescent="0.25"/>
  <cols>
    <col min="1" max="6" width="18.7109375" customWidth="1"/>
    <col min="7" max="7" width="5.7109375" customWidth="1"/>
    <col min="8" max="12" width="18.7109375" customWidth="1"/>
    <col min="13" max="13" width="12.140625" bestFit="1" customWidth="1"/>
  </cols>
  <sheetData>
    <row r="1" spans="1:13" ht="26.25" x14ac:dyDescent="0.4">
      <c r="A1" s="56" t="s">
        <v>5</v>
      </c>
      <c r="B1" s="56"/>
      <c r="C1" s="56"/>
      <c r="D1" s="56"/>
      <c r="E1" s="56"/>
      <c r="F1" s="56"/>
      <c r="G1" s="9"/>
      <c r="H1" s="54" t="s">
        <v>23</v>
      </c>
      <c r="I1" s="55"/>
      <c r="J1" s="55"/>
      <c r="K1" s="55"/>
      <c r="L1" s="55"/>
    </row>
    <row r="2" spans="1:13" ht="19.5" x14ac:dyDescent="0.3">
      <c r="A2" s="61" t="s">
        <v>13</v>
      </c>
      <c r="B2" s="61"/>
      <c r="C2" s="61"/>
      <c r="D2" s="61"/>
      <c r="E2" s="61"/>
      <c r="F2" s="61"/>
      <c r="G2" s="9"/>
      <c r="H2" s="55"/>
      <c r="I2" s="55"/>
      <c r="J2" s="55"/>
      <c r="K2" s="55"/>
      <c r="L2" s="55"/>
    </row>
    <row r="3" spans="1:13" ht="15.75" customHeight="1" thickBot="1" x14ac:dyDescent="0.3">
      <c r="A3" s="9"/>
      <c r="B3" s="9"/>
      <c r="C3" s="9"/>
      <c r="D3" s="9"/>
      <c r="E3" s="9"/>
      <c r="F3" s="9"/>
      <c r="G3" s="9"/>
      <c r="H3" s="72" t="str">
        <f>CONCATENATE("Em análise do balancete deste mês de ",TEXT(F38,"mm/aaaa"),", foi possível observar que ",C41,"")</f>
        <v>Em análise do balancete deste mês de 09/2024, foi possível observar que as despesas ordinárias, no cômputo geral, se realizaram acima do previsto.</v>
      </c>
      <c r="I3" s="72"/>
      <c r="J3" s="72"/>
      <c r="K3" s="72"/>
      <c r="L3" s="72"/>
    </row>
    <row r="4" spans="1:13" ht="15.75" customHeight="1" thickBot="1" x14ac:dyDescent="0.3">
      <c r="A4" s="68" t="s">
        <v>26</v>
      </c>
      <c r="B4" s="69"/>
      <c r="C4" s="69"/>
      <c r="D4" s="69"/>
      <c r="E4" s="69"/>
      <c r="F4" s="70"/>
      <c r="G4" s="9"/>
      <c r="H4" s="72"/>
      <c r="I4" s="72"/>
      <c r="J4" s="72"/>
      <c r="K4" s="72"/>
      <c r="L4" s="72"/>
    </row>
    <row r="5" spans="1:13" ht="15.75" customHeight="1" thickBot="1" x14ac:dyDescent="0.3">
      <c r="A5" s="66" t="s">
        <v>14</v>
      </c>
      <c r="B5" s="67"/>
      <c r="C5" s="67"/>
      <c r="D5" s="67"/>
      <c r="E5" s="67"/>
      <c r="F5" s="26">
        <v>-24829.01</v>
      </c>
      <c r="G5" s="9"/>
      <c r="H5" s="72" t="str">
        <f>IF(F12="SIM",CONCATENATE(" - Previsto: R$ ",IF(OR(MOD((F8+F13)*100,10)=0,MOD((F8+F13)*1000,100)=0),TEXT((F8+F13),"#.##0,00"),TEXT((F8+F13),"#.##,##"))," (incluindo receita com locação)"),CONCATENATE(" - Previsto: R$ ", IF(OR(MOD(F8*100,10)=0,MOD(F8*1000,100)=0),TEXT(F8,"#.##0,00"),TEXT(F8,"#.##,##"))))</f>
        <v xml:space="preserve"> - Previsto: R$ 42.985,00</v>
      </c>
      <c r="I5" s="72"/>
      <c r="J5" s="72"/>
      <c r="K5" s="72"/>
      <c r="L5" s="72"/>
    </row>
    <row r="6" spans="1:13" ht="15.75" customHeight="1" thickBot="1" x14ac:dyDescent="0.3">
      <c r="A6" s="9"/>
      <c r="B6" s="9"/>
      <c r="C6" s="9"/>
      <c r="D6" s="9"/>
      <c r="E6" s="9"/>
      <c r="F6" s="9"/>
      <c r="G6" s="16"/>
      <c r="H6" s="72" t="str">
        <f>CONCATENATE(" - Realizado: R$ ", IF(OR(MOD(F19*100,10)=0,MOD(F19*1000,100)=0),TEXT(F19,"#.##0,00"),TEXT(F19,"#.##,##")))</f>
        <v xml:space="preserve"> - Realizado: R$ 45.426,90</v>
      </c>
      <c r="I6" s="72"/>
      <c r="J6" s="72"/>
      <c r="K6" s="72"/>
      <c r="L6" s="72"/>
    </row>
    <row r="7" spans="1:13" ht="15.75" customHeight="1" thickBot="1" x14ac:dyDescent="0.3">
      <c r="A7" s="68" t="s">
        <v>32</v>
      </c>
      <c r="B7" s="69"/>
      <c r="C7" s="69"/>
      <c r="D7" s="69"/>
      <c r="E7" s="69"/>
      <c r="F7" s="70"/>
      <c r="G7" s="17"/>
      <c r="H7" s="65" t="str">
        <f>IF(F12="SIM",IF(F19&gt;F8+F13,"[AS DESPESAS FORAM MAIORES QUE O PREVISTO - EXPLICAR O MOTIVO]", IF(F19&lt;(F8+F13)-(F8+F13)*7%,"[AS DESPESAS FORAM MUITO MENORES QUE O PREVISTO - EXPLICAR O MOTIVO]","")),IF(F19&gt;F8,"[AS DESPESAS FORAM MAIORES QUE O PREVISTO - EXPLICAR O MOTIVO]", IF(F19&lt;F8-F8*7%,"[AS DESPESAS FORAM MUITO MENORES QUE O PREVISTO - EXPLICAR O MOTIVO]","")))</f>
        <v>[AS DESPESAS FORAM MAIORES QUE O PREVISTO - EXPLICAR O MOTIVO]</v>
      </c>
      <c r="I7" s="65"/>
      <c r="J7" s="65"/>
      <c r="K7" s="65"/>
      <c r="L7" s="65"/>
      <c r="M7" s="34"/>
    </row>
    <row r="8" spans="1:13" ht="15.75" customHeight="1" x14ac:dyDescent="0.25">
      <c r="A8" s="58" t="s">
        <v>44</v>
      </c>
      <c r="B8" s="59"/>
      <c r="C8" s="59"/>
      <c r="D8" s="59"/>
      <c r="E8" s="59"/>
      <c r="F8" s="6">
        <v>42985</v>
      </c>
      <c r="G8" s="9"/>
      <c r="H8" s="20"/>
      <c r="I8" s="20"/>
      <c r="J8" s="20"/>
      <c r="K8" s="20"/>
      <c r="L8" s="20"/>
    </row>
    <row r="9" spans="1:13" ht="15.75" customHeight="1" thickBot="1" x14ac:dyDescent="0.3">
      <c r="A9" s="62" t="s">
        <v>11</v>
      </c>
      <c r="B9" s="63"/>
      <c r="C9" s="63"/>
      <c r="D9" s="63"/>
      <c r="E9" s="64"/>
      <c r="F9" s="10">
        <v>38737</v>
      </c>
      <c r="G9" s="16"/>
      <c r="H9" s="57" t="str">
        <f>C48</f>
        <v>No que se refere as receitas, o Condomínio recebeu 90,12% das cotas do mês (R$ 38.737,00), e não houve recebimento de cotas atrasadas de períodos anteriores, de modo que essas receitas ordinárias se realizaram abaixo do total emitido para o mês.</v>
      </c>
      <c r="I9" s="57"/>
      <c r="J9" s="57"/>
      <c r="K9" s="57"/>
      <c r="L9" s="57"/>
    </row>
    <row r="10" spans="1:13" ht="15.75" customHeight="1" thickBot="1" x14ac:dyDescent="0.3">
      <c r="A10" s="8"/>
      <c r="B10" s="8"/>
      <c r="C10" s="8"/>
      <c r="D10" s="8"/>
      <c r="E10" s="8"/>
      <c r="F10" s="16"/>
      <c r="G10" s="9"/>
      <c r="H10" s="57"/>
      <c r="I10" s="57"/>
      <c r="J10" s="57"/>
      <c r="K10" s="57"/>
      <c r="L10" s="57"/>
    </row>
    <row r="11" spans="1:13" ht="15.75" customHeight="1" thickBot="1" x14ac:dyDescent="0.3">
      <c r="A11" s="68" t="s">
        <v>30</v>
      </c>
      <c r="B11" s="69"/>
      <c r="C11" s="69"/>
      <c r="D11" s="69"/>
      <c r="E11" s="69"/>
      <c r="F11" s="70"/>
      <c r="G11" s="9"/>
      <c r="H11" s="57"/>
      <c r="I11" s="57"/>
      <c r="J11" s="57"/>
      <c r="K11" s="57"/>
      <c r="L11" s="57"/>
    </row>
    <row r="12" spans="1:13" ht="15.75" customHeight="1" x14ac:dyDescent="0.25">
      <c r="A12" s="74" t="s">
        <v>31</v>
      </c>
      <c r="B12" s="75"/>
      <c r="C12" s="75"/>
      <c r="D12" s="75"/>
      <c r="E12" s="76"/>
      <c r="F12" s="4" t="s">
        <v>25</v>
      </c>
      <c r="G12" s="9"/>
      <c r="H12" s="71" t="str">
        <f>CONCATENATE(" - Recebimento das cotas do mês: R$ ",IF(OR(MOD(F9*100,10)=0,MOD(F9*1000,100)=0),TEXT(F9,"#.##0,00"),TEXT(F9,"#.##,##")),"")</f>
        <v xml:space="preserve"> - Recebimento das cotas do mês: R$ 38.737,00</v>
      </c>
      <c r="I12" s="71"/>
      <c r="J12" s="71"/>
      <c r="K12" s="71"/>
      <c r="L12" s="71"/>
    </row>
    <row r="13" spans="1:13" ht="15.75" customHeight="1" thickBot="1" x14ac:dyDescent="0.3">
      <c r="A13" s="62" t="str">
        <f>IF(F12="SIM","Valor dessas receitas com locação"," ")</f>
        <v xml:space="preserve"> </v>
      </c>
      <c r="B13" s="63"/>
      <c r="C13" s="63"/>
      <c r="D13" s="63"/>
      <c r="E13" s="64"/>
      <c r="F13" s="7">
        <v>0</v>
      </c>
      <c r="G13" s="9"/>
      <c r="H13" s="71" t="str">
        <f>CONCATENATE(" - Recebimento de cotas em atraso: R$ ",IF(OR(MOD(F26*100,10)=0,MOD(F26*1000,100)=0),TEXT(F26,"#.##0,00"),TEXT(F26,"#.##,##")), " (nominal)","")</f>
        <v xml:space="preserve"> - Recebimento de cotas em atraso: R$ 0,00 (nominal)</v>
      </c>
      <c r="I13" s="71"/>
      <c r="J13" s="71"/>
      <c r="K13" s="71"/>
      <c r="L13" s="71"/>
    </row>
    <row r="14" spans="1:13" ht="15.75" customHeight="1" thickBot="1" x14ac:dyDescent="0.3">
      <c r="A14" s="8"/>
      <c r="B14" s="8"/>
      <c r="C14" s="8"/>
      <c r="D14" s="8"/>
      <c r="E14" s="8"/>
      <c r="F14" s="9"/>
      <c r="G14" s="16"/>
      <c r="H14" s="71" t="str">
        <f>CONCATENATE(" - Recebido: R$ ",IF(OR(MOD((F9+F26)*100,10)=0,MOD((F9+F26)*1000,100)=0),TEXT((F9+F26),"#.##0,00"),TEXT((F9+F26),"#.##,##"))," | Emitido: R$ ",IF(OR(MOD(F8*100,10)=0,MOD(F8*1000,100)=0),TEXT(F8,"#.##0,00"),TEXT(F8,"#.##,##")))</f>
        <v xml:space="preserve"> - Recebido: R$ 38.737,00 | Emitido: R$ 42.985,00</v>
      </c>
      <c r="I14" s="71"/>
      <c r="J14" s="71"/>
      <c r="K14" s="71"/>
      <c r="L14" s="15"/>
    </row>
    <row r="15" spans="1:13" ht="15.75" customHeight="1" thickBot="1" x14ac:dyDescent="0.3">
      <c r="A15" s="68" t="s">
        <v>27</v>
      </c>
      <c r="B15" s="69"/>
      <c r="C15" s="69"/>
      <c r="D15" s="69"/>
      <c r="E15" s="69"/>
      <c r="F15" s="70"/>
      <c r="G15" s="16"/>
      <c r="H15" s="23"/>
      <c r="I15" s="23"/>
      <c r="J15" s="23"/>
      <c r="K15" s="23"/>
      <c r="L15" s="23"/>
    </row>
    <row r="16" spans="1:13" ht="15.75" customHeight="1" x14ac:dyDescent="0.25">
      <c r="A16" s="58" t="s">
        <v>1</v>
      </c>
      <c r="B16" s="59"/>
      <c r="C16" s="59"/>
      <c r="D16" s="59"/>
      <c r="E16" s="60"/>
      <c r="F16" s="3">
        <v>45426.9</v>
      </c>
      <c r="G16" s="9"/>
      <c r="H16" s="37" t="str">
        <f>IF(F9+F26=F22,"",C51)</f>
        <v>De todo modo, as receitas ordinárias totais, englobando todos os créditos contabilizados na conta ordinária, se realizaram acima do previsto.</v>
      </c>
      <c r="I16" s="37"/>
      <c r="J16" s="37"/>
      <c r="K16" s="37"/>
      <c r="L16" s="37"/>
    </row>
    <row r="17" spans="1:12" ht="15.75" customHeight="1" x14ac:dyDescent="0.25">
      <c r="A17" s="74" t="s">
        <v>0</v>
      </c>
      <c r="B17" s="75"/>
      <c r="C17" s="75"/>
      <c r="D17" s="75"/>
      <c r="E17" s="76"/>
      <c r="F17" s="4" t="s">
        <v>25</v>
      </c>
      <c r="G17" s="16"/>
      <c r="H17" s="37"/>
      <c r="I17" s="37"/>
      <c r="J17" s="37"/>
      <c r="K17" s="37"/>
      <c r="L17" s="37"/>
    </row>
    <row r="18" spans="1:12" ht="15.75" customHeight="1" x14ac:dyDescent="0.25">
      <c r="A18" s="74" t="str">
        <f>IF(F17="SIM","Valor total dessas despesas rateadas separadamente"," ")</f>
        <v xml:space="preserve"> </v>
      </c>
      <c r="B18" s="75"/>
      <c r="C18" s="75"/>
      <c r="D18" s="75"/>
      <c r="E18" s="76"/>
      <c r="F18" s="5">
        <v>0</v>
      </c>
      <c r="G18" s="9"/>
      <c r="H18" s="37" t="str">
        <f>IF(
    F9 + F26 = F22,
    "",
    IF(
        F12 = "SIM",
        CONCATENATE(
            " - Total recebido: R$ ",
            IF(
                OR(MOD(F25 * 100, 10) = 0, MOD(F25 * 1000, 100) = 0),
                TEXT(F25, "#.##0,00"),
                TEXT(F25, "#.##,##")
            ),
            " | Receita prevista: R$ ",
            IF(
                OR(MOD((F8 + F13) * 100, 10) = 0, MOD((F8 + F13) * 1000, 100) = 0),
                TEXT((F8 + F13), "#.##0,00"),
                TEXT((F8 + F13), "#.##,##")
            ),
            " (incluindo receita com locação)"
        ),
        CONCATENATE(
            " - Total recebido: R$ ",
            IF(
                OR(MOD(F25 * 100, 10) = 0, MOD(F25 * 1000, 100) = 0),
                TEXT(F25, "#.##0,00"),
                TEXT(F25, "#.##,##")
            ),
            " | Receita prevista: R$ ",
            IF(
                OR(MOD(F8 * 100, 10) = 0, MOD(F8 * 1000, 100) = 0),
                TEXT(F8, "#.##0,00"),
                TEXT(F8, "#.##,##")
            )
        )
    )
)</f>
        <v xml:space="preserve"> - Total recebido: R$ 44.885,00 | Receita prevista: R$ 42.985,00</v>
      </c>
      <c r="I18" s="37"/>
      <c r="J18" s="37"/>
      <c r="K18" s="37"/>
      <c r="L18" s="37"/>
    </row>
    <row r="19" spans="1:12" ht="15.75" customHeight="1" thickBot="1" x14ac:dyDescent="0.3">
      <c r="A19" s="62" t="str">
        <f>IF(F17="SIM","Despesas Ordinárias sem considerar as rateadas separadamente","Despesas Ordinárias consideradas para efeito de comparação")</f>
        <v>Despesas Ordinárias consideradas para efeito de comparação</v>
      </c>
      <c r="B19" s="63"/>
      <c r="C19" s="63"/>
      <c r="D19" s="63"/>
      <c r="E19" s="64"/>
      <c r="F19" s="1">
        <f>F16-F18</f>
        <v>45426.9</v>
      </c>
      <c r="G19" s="9"/>
      <c r="H19" s="77" t="str">
        <f>IF(
F25&lt;F9+F26+F13,
"[EXPLICAR COMO AS RECEITAS ORDINÁRIAS TOTAIS FORAM MENORES DO QUE AS RECEITAS ORDINÁRIAS RECEBIDAS DO MÊS]",
IF(
F25&gt;F9+F26+F13+((F9+F26+F13)*7%),
IF(F33="SIM","[AS RECEITAS ORDINÁRIAS TOTAIS FORAM MUITO SUPERIORES DO QUE AS RECEITAS RECEBIDAS DO MÊS - EXPLICAR. SE FOR POR CONTA DAS ANTECIPAÇÕES, ESTÁ ESCLARECIDO EM PARÁGRAFO MAIS ABAIXO]","[AS RECEITAS ORDINÁRIAS TOTAIS FORAM MUITO SUPERIORES DO QUE AS RECEITAS RECEBIDAS DO MÊS - EXPLICAR]"),
""
)
)</f>
        <v>[AS RECEITAS ORDINÁRIAS TOTAIS FORAM MUITO SUPERIORES DO QUE AS RECEITAS RECEBIDAS DO MÊS - EXPLICAR]</v>
      </c>
      <c r="I19" s="77"/>
      <c r="J19" s="77"/>
      <c r="K19" s="77"/>
      <c r="L19" s="77"/>
    </row>
    <row r="20" spans="1:12" ht="15.75" customHeight="1" thickBot="1" x14ac:dyDescent="0.3">
      <c r="A20" s="8"/>
      <c r="B20" s="8"/>
      <c r="C20" s="8"/>
      <c r="D20" s="8"/>
      <c r="E20" s="8"/>
      <c r="F20" s="9"/>
      <c r="G20" s="9"/>
      <c r="H20" s="77"/>
      <c r="I20" s="77"/>
      <c r="J20" s="77"/>
      <c r="K20" s="77"/>
      <c r="L20" s="77"/>
    </row>
    <row r="21" spans="1:12" ht="15.75" customHeight="1" thickBot="1" x14ac:dyDescent="0.3">
      <c r="A21" s="68" t="s">
        <v>28</v>
      </c>
      <c r="B21" s="69"/>
      <c r="C21" s="69"/>
      <c r="D21" s="69"/>
      <c r="E21" s="69"/>
      <c r="F21" s="70"/>
      <c r="G21" s="9"/>
      <c r="H21" s="65" t="str">
        <f>IF(F24&gt;F18,IF(F24&gt;F18+F18*20%,"[Atenção: As receitas rateadas separadamente foram pelo menos 20% maiores que a despesa. Pode ser necessário explicar, pois essa variação está contribuindo sobremaneira com a receita ordinária total]",""),IF(F24&lt;F18-F18*20%,"[Atenção: As receitas rateadas separadamente foram pelo menos 20% menores que a despesa. Pode ser necessário explicar, pois essa variação está prejudicando a receita ordinária total]",""))</f>
        <v/>
      </c>
      <c r="I21" s="65"/>
      <c r="J21" s="65"/>
      <c r="K21" s="65"/>
      <c r="L21" s="65"/>
    </row>
    <row r="22" spans="1:12" ht="15.75" customHeight="1" x14ac:dyDescent="0.25">
      <c r="A22" s="58" t="s">
        <v>2</v>
      </c>
      <c r="B22" s="59"/>
      <c r="C22" s="59"/>
      <c r="D22" s="59"/>
      <c r="E22" s="60"/>
      <c r="F22" s="6">
        <v>44885</v>
      </c>
      <c r="G22" s="9"/>
      <c r="H22" s="65"/>
      <c r="I22" s="65"/>
      <c r="J22" s="65"/>
      <c r="K22" s="65"/>
      <c r="L22" s="65"/>
    </row>
    <row r="23" spans="1:12" ht="15.75" customHeight="1" x14ac:dyDescent="0.25">
      <c r="A23" s="74" t="s">
        <v>3</v>
      </c>
      <c r="B23" s="75"/>
      <c r="C23" s="75"/>
      <c r="D23" s="75"/>
      <c r="E23" s="76"/>
      <c r="F23" s="11" t="str">
        <f>F17</f>
        <v>NÃO</v>
      </c>
      <c r="G23" s="18"/>
      <c r="H23" s="80" t="str">
        <f>IF(F29="SIM",C68,"")</f>
        <v/>
      </c>
      <c r="I23" s="80"/>
      <c r="J23" s="80"/>
      <c r="K23" s="80"/>
      <c r="L23" s="80"/>
    </row>
    <row r="24" spans="1:12" ht="15.75" customHeight="1" x14ac:dyDescent="0.25">
      <c r="A24" s="74" t="str">
        <f>IF(F23="SIM","Valor total dessas receitas rateadas separadamente"," ")</f>
        <v xml:space="preserve"> </v>
      </c>
      <c r="B24" s="75"/>
      <c r="C24" s="75"/>
      <c r="D24" s="75"/>
      <c r="E24" s="76"/>
      <c r="F24" s="5">
        <v>0</v>
      </c>
      <c r="G24" s="18"/>
      <c r="H24" s="80"/>
      <c r="I24" s="80"/>
      <c r="J24" s="80"/>
      <c r="K24" s="80"/>
      <c r="L24" s="80"/>
    </row>
    <row r="25" spans="1:12" ht="15.75" customHeight="1" x14ac:dyDescent="0.25">
      <c r="A25" s="74" t="str">
        <f>IF(F23="SIM","Receitas Ordinárias sem considerar as rateadas separadamente","Receitas Ordinárias consideradas para efeito de comparação")</f>
        <v>Receitas Ordinárias consideradas para efeito de comparação</v>
      </c>
      <c r="B25" s="75"/>
      <c r="C25" s="75"/>
      <c r="D25" s="75"/>
      <c r="E25" s="76"/>
      <c r="F25" s="2">
        <f>F22-F24</f>
        <v>44885</v>
      </c>
      <c r="G25" s="18"/>
      <c r="H25" s="80"/>
      <c r="I25" s="80"/>
      <c r="J25" s="80"/>
      <c r="K25" s="80"/>
      <c r="L25" s="80"/>
    </row>
    <row r="26" spans="1:12" ht="15.75" customHeight="1" thickBot="1" x14ac:dyDescent="0.3">
      <c r="A26" s="62" t="s">
        <v>4</v>
      </c>
      <c r="B26" s="63"/>
      <c r="C26" s="63"/>
      <c r="D26" s="63"/>
      <c r="E26" s="64"/>
      <c r="F26" s="7">
        <v>0</v>
      </c>
      <c r="G26" s="18"/>
      <c r="H26" s="80"/>
      <c r="I26" s="80"/>
      <c r="J26" s="80"/>
      <c r="K26" s="80"/>
      <c r="L26" s="80"/>
    </row>
    <row r="27" spans="1:12" ht="15.75" customHeight="1" thickBot="1" x14ac:dyDescent="0.3">
      <c r="A27" s="9"/>
      <c r="B27" s="9"/>
      <c r="C27" s="9"/>
      <c r="D27" s="9"/>
      <c r="E27" s="9"/>
      <c r="F27" s="9"/>
      <c r="G27" s="18"/>
      <c r="H27" s="80"/>
      <c r="I27" s="80"/>
      <c r="J27" s="80"/>
      <c r="K27" s="80"/>
      <c r="L27" s="80"/>
    </row>
    <row r="28" spans="1:12" ht="15.75" customHeight="1" thickBot="1" x14ac:dyDescent="0.3">
      <c r="A28" s="68" t="s">
        <v>36</v>
      </c>
      <c r="B28" s="69"/>
      <c r="C28" s="69"/>
      <c r="D28" s="69"/>
      <c r="E28" s="69"/>
      <c r="F28" s="70"/>
      <c r="G28" s="18"/>
      <c r="H28" s="44" t="str">
        <f>IF(
    F17 = "SIM",
    CONCATENATE(
        "Já considerando as receitas ordinárias totais",
        C54,
        " essas totalizaram R$ ",
        IF(
            OR(MOD(F22 * 100, 10) = 0, MOD(F22 * 1000, 100) = 0),
            TEXT(F22, "#.##0,00"),
            TEXT(F22, "#.##,##")
        ),
        ", frente as despesas de R$ ",
        IF(
            OR(MOD(F16 * 100, 10) = 0, MOD(F16 * 1000, 100) = 0),
            TEXT(F16, "#.##0,00"),
            TEXT(F16, "#.##,##")
        ),
        ", o que resulta em um ",
        F58,
        " de ",
        IF(
            F57 &lt; 1,
            IF(
                OR(MOD(F57 * 100, 10) = 0, MOD(F57 * 1000, 100) = 0),
                TEXT(F57, "0###0,00"),
                TEXT(F57, "0###,##")
            ),
            IF(
                OR(MOD(F57 * 100, 10) = 0, MOD(F57 * 1000, 100) = 0),
                TEXT(F57, "#.##0,00"),
                TEXT(F57, "#.##,##")
            )
        ),
        "%, de modo que o saldo da conta ordinária apresentou ",
        F59,
        " em relação ao mês anterior, encerrando",
        IF(
            F5 &lt; 0,
            " negativo",
            ""
        ),
        " em R$ ",
        IF(
            OR(MOD(F5 * 100, 10) = 0, MOD(F5 * 1000, 100) = 0),
            TEXT(F5, "#.##0,00"),
            TEXT(F5, "#.##,##")
        ),
        "."
    ),
    CONCATENATE(
        "É possível concluir, portanto, que as receitas ordinárias",
        C54,
        " totalizaram R$ ",
        IF(
            OR(MOD(F22 * 100, 10) = 0, MOD(F22 * 1000, 100) = 0),
            TEXT(F22, "#.##0,00"),
            TEXT(F22, "#.##,##")
        ),
        ", frente as despesas de R$ ",
        IF(
            OR(MOD(F16 * 100, 10) = 0, MOD(F16 * 1000, 100) = 0),
            TEXT(F16, "#.##0,00"),
            TEXT(F16, "#.##,##")
        ),
        ", o que resulta em um ",
        F58,
        " de ",
        IF(
            F57 &lt; 1,
            IF(
                OR(MOD(F57 * 100, 10) = 0, MOD(F57 * 1000, 100) = 0),
                TEXT(F57, "0###0,00"),
                TEXT(F57, "0###,##")
            ),
            IF(
                OR(MOD(F57 * 100, 10) = 0, MOD(F57 * 1000, 100) = 0),
                TEXT(F57, "#.##0,00"),
                TEXT(F57, "#.##,##")
            )
        ),
        "%, de modo que o saldo da conta ordinária apresentou ",
        F59,
        " em relação ao mês anterior, encerrando",
        IF(
            F5 &lt; 0,
            " negativo",
            ""
        ),
        " em R$ ",
        IF(
            OR(MOD(F5 * 100, 10) = 0, MOD(F5 * 1000, 100) = 0),
            TEXT(F5, "#.##0,00"),
            TEXT(F5, "#.##,##")
        ),
        "."
    )
)</f>
        <v>É possível concluir, portanto, que as receitas ordinárias totalizaram R$ 44.885,00, frente as despesas de R$ 45.426,90, o que resulta em um déficit de -01,21%, de modo que o saldo da conta ordinária apresentou redução em relação ao mês anterior, encerrando negativo em R$ -24.829,01.</v>
      </c>
      <c r="I28" s="44"/>
      <c r="J28" s="44"/>
      <c r="K28" s="44"/>
      <c r="L28" s="44"/>
    </row>
    <row r="29" spans="1:12" ht="15.75" customHeight="1" x14ac:dyDescent="0.25">
      <c r="A29" s="74" t="s">
        <v>37</v>
      </c>
      <c r="B29" s="75"/>
      <c r="C29" s="75"/>
      <c r="D29" s="75"/>
      <c r="E29" s="76"/>
      <c r="F29" s="4" t="s">
        <v>25</v>
      </c>
      <c r="G29" s="18"/>
      <c r="H29" s="44"/>
      <c r="I29" s="44"/>
      <c r="J29" s="44"/>
      <c r="K29" s="44"/>
      <c r="L29" s="44"/>
    </row>
    <row r="30" spans="1:12" ht="15.75" customHeight="1" thickBot="1" x14ac:dyDescent="0.3">
      <c r="A30" s="62" t="str">
        <f>IF(F29="SIM","Valor dessas receitas com locação"," ")</f>
        <v xml:space="preserve"> </v>
      </c>
      <c r="B30" s="63"/>
      <c r="C30" s="63"/>
      <c r="D30" s="63"/>
      <c r="E30" s="64"/>
      <c r="F30" s="7">
        <v>0</v>
      </c>
      <c r="G30" s="18"/>
      <c r="H30" s="44"/>
      <c r="I30" s="44"/>
      <c r="J30" s="44"/>
      <c r="K30" s="44"/>
      <c r="L30" s="44"/>
    </row>
    <row r="31" spans="1:12" ht="15.75" customHeight="1" thickBot="1" x14ac:dyDescent="0.3">
      <c r="A31" s="9"/>
      <c r="B31" s="9"/>
      <c r="C31" s="9"/>
      <c r="D31" s="9"/>
      <c r="E31" s="9"/>
      <c r="F31" s="9"/>
      <c r="G31" s="18"/>
      <c r="H31" s="44"/>
      <c r="I31" s="44"/>
      <c r="J31" s="44"/>
      <c r="K31" s="44"/>
      <c r="L31" s="44"/>
    </row>
    <row r="32" spans="1:12" ht="15.75" customHeight="1" thickBot="1" x14ac:dyDescent="0.3">
      <c r="A32" s="68" t="s">
        <v>39</v>
      </c>
      <c r="B32" s="69"/>
      <c r="C32" s="69"/>
      <c r="D32" s="69"/>
      <c r="E32" s="69"/>
      <c r="F32" s="70"/>
      <c r="G32" s="18"/>
      <c r="H32" s="30"/>
      <c r="I32" s="30"/>
      <c r="J32" s="30"/>
      <c r="K32" s="30"/>
      <c r="L32" s="30"/>
    </row>
    <row r="33" spans="1:12" ht="15.75" customHeight="1" x14ac:dyDescent="0.25">
      <c r="A33" s="74" t="s">
        <v>40</v>
      </c>
      <c r="B33" s="75"/>
      <c r="C33" s="75"/>
      <c r="D33" s="75"/>
      <c r="E33" s="76"/>
      <c r="F33" s="4" t="s">
        <v>25</v>
      </c>
      <c r="G33" s="18"/>
      <c r="H33" s="73" t="str">
        <f>IF(F33="SIM",C74,"")</f>
        <v/>
      </c>
      <c r="I33" s="73"/>
      <c r="J33" s="73"/>
      <c r="K33" s="73"/>
      <c r="L33" s="73"/>
    </row>
    <row r="34" spans="1:12" ht="15.75" customHeight="1" x14ac:dyDescent="0.25">
      <c r="A34" s="74" t="str">
        <f>IF(F33="SIM","Valor das cotas do mês seguinte, que foram pagas neste mês"," ")</f>
        <v xml:space="preserve"> </v>
      </c>
      <c r="B34" s="75"/>
      <c r="C34" s="75"/>
      <c r="D34" s="75"/>
      <c r="E34" s="76"/>
      <c r="F34" s="5">
        <v>0</v>
      </c>
      <c r="G34" s="18"/>
      <c r="H34" s="73"/>
      <c r="I34" s="73"/>
      <c r="J34" s="73"/>
      <c r="K34" s="73"/>
      <c r="L34" s="73"/>
    </row>
    <row r="35" spans="1:12" ht="15.75" customHeight="1" thickBot="1" x14ac:dyDescent="0.3">
      <c r="A35" s="62" t="str">
        <f>IF(F33="SIM","Valor das cotas deste mês, que foram pagas mês passado"," ")</f>
        <v xml:space="preserve"> </v>
      </c>
      <c r="B35" s="63"/>
      <c r="C35" s="63"/>
      <c r="D35" s="63"/>
      <c r="E35" s="64"/>
      <c r="F35" s="10">
        <v>0</v>
      </c>
      <c r="G35" s="18"/>
      <c r="H35" s="73"/>
      <c r="I35" s="73"/>
      <c r="J35" s="73"/>
      <c r="K35" s="73"/>
      <c r="L35" s="73"/>
    </row>
    <row r="36" spans="1:12" ht="15.75" customHeight="1" thickBot="1" x14ac:dyDescent="0.3">
      <c r="A36" s="9"/>
      <c r="B36" s="9"/>
      <c r="C36" s="9"/>
      <c r="D36" s="9"/>
      <c r="E36" s="9"/>
      <c r="F36" s="9"/>
      <c r="G36" s="18"/>
      <c r="H36" s="73"/>
      <c r="I36" s="73"/>
      <c r="J36" s="73"/>
      <c r="K36" s="73"/>
      <c r="L36" s="73"/>
    </row>
    <row r="37" spans="1:12" ht="15.75" customHeight="1" thickBot="1" x14ac:dyDescent="0.3">
      <c r="A37" s="68" t="s">
        <v>29</v>
      </c>
      <c r="B37" s="69"/>
      <c r="C37" s="69"/>
      <c r="D37" s="69"/>
      <c r="E37" s="69"/>
      <c r="F37" s="70"/>
      <c r="G37" s="18"/>
      <c r="H37" s="29"/>
      <c r="I37" s="29"/>
      <c r="J37" s="29"/>
      <c r="K37" s="29"/>
      <c r="L37" s="29"/>
    </row>
    <row r="38" spans="1:12" ht="15.75" customHeight="1" thickBot="1" x14ac:dyDescent="0.3">
      <c r="A38" s="66" t="s">
        <v>24</v>
      </c>
      <c r="B38" s="67"/>
      <c r="C38" s="67"/>
      <c r="D38" s="67"/>
      <c r="E38" s="79"/>
      <c r="F38" s="24">
        <v>45536</v>
      </c>
      <c r="G38" s="18"/>
      <c r="H38" s="35" t="s">
        <v>20</v>
      </c>
      <c r="I38" s="35"/>
      <c r="J38" s="35"/>
      <c r="K38" s="35"/>
      <c r="L38" s="35"/>
    </row>
    <row r="39" spans="1:12" ht="15.75" customHeight="1" x14ac:dyDescent="0.25">
      <c r="A39" s="9"/>
      <c r="B39" s="9"/>
      <c r="C39" s="9"/>
      <c r="D39" s="9"/>
      <c r="E39" s="9"/>
      <c r="F39" s="9"/>
      <c r="G39" s="18"/>
      <c r="H39" s="44" t="str">
        <f>IF(F58="déficit",C64,C60)</f>
        <v>Importante considerar que o déficit observado na conta ordinária ocorreu pois, embora as receitas tenham totalizado valor superior ao previsto, as despesas se realizaram acima da previsão, superando também as receitas efetivas.</v>
      </c>
      <c r="I39" s="44"/>
      <c r="J39" s="44"/>
      <c r="K39" s="44"/>
      <c r="L39" s="44"/>
    </row>
    <row r="40" spans="1:12" ht="15.75" customHeight="1" x14ac:dyDescent="0.25">
      <c r="A40" s="78" t="s">
        <v>6</v>
      </c>
      <c r="B40" s="78"/>
      <c r="C40" s="78"/>
      <c r="D40" s="78"/>
      <c r="E40" s="78"/>
      <c r="F40" s="78"/>
      <c r="G40" s="18"/>
      <c r="H40" s="44"/>
      <c r="I40" s="44"/>
      <c r="J40" s="44"/>
      <c r="K40" s="44"/>
      <c r="L40" s="44"/>
    </row>
    <row r="41" spans="1:12" hidden="1" x14ac:dyDescent="0.25">
      <c r="A41" s="36" t="s">
        <v>7</v>
      </c>
      <c r="B41" s="36"/>
      <c r="C41" s="44" t="str">
        <f>IF(F12="SIM",IF(F17="SIM",IF(F19&lt;F8+F13,"as despesas ordinárias, no cômputo geral, excluindo as despesas que são rateadas separadamente, se realizaram dentro do previsto.","as despesas ordinárias, no cômputo geral, excluindo as despesas que são rateadas separadamente, se realizaram acima do previsto."),IF(F19&lt;F8+F13,"as despesas ordinárias, no cômputo geral, se realizaram dentro do previsto.","as despesas ordinárias, no cômputo geral, se realizaram acima do previsto.")),IF(F17="SIM",IF(F19&lt;F8,"as despesas ordinárias, no cômputo geral, excluindo as despesas que são rateadas separadamente, se realizaram dentro do previsto.","as despesas ordinárias, no cômputo geral, excluindo as despesas que são rateadas separadamente, se realizaram acima do previsto."),IF(F19&lt;F8,"as despesas ordinárias, no cômputo geral, se realizaram dentro do previsto.","as despesas ordinárias, no cômputo geral, se realizaram acima do previsto.")))</f>
        <v>as despesas ordinárias, no cômputo geral, se realizaram acima do previsto.</v>
      </c>
      <c r="D41" s="44"/>
      <c r="E41" s="44"/>
      <c r="F41" s="44"/>
      <c r="G41" s="18"/>
      <c r="H41" s="44"/>
      <c r="I41" s="44"/>
      <c r="J41" s="44"/>
      <c r="K41" s="44"/>
      <c r="L41" s="44"/>
    </row>
    <row r="42" spans="1:12" ht="15.75" customHeight="1" x14ac:dyDescent="0.25">
      <c r="A42" s="12"/>
      <c r="B42" s="12"/>
      <c r="C42" s="44"/>
      <c r="D42" s="44"/>
      <c r="E42" s="44"/>
      <c r="F42" s="44"/>
      <c r="G42" s="18"/>
      <c r="H42" s="44"/>
      <c r="I42" s="44"/>
      <c r="J42" s="44"/>
      <c r="K42" s="44"/>
      <c r="L42" s="44"/>
    </row>
    <row r="43" spans="1:12" x14ac:dyDescent="0.25">
      <c r="A43" s="12"/>
      <c r="B43" s="12"/>
      <c r="C43" s="44"/>
      <c r="D43" s="44"/>
      <c r="E43" s="44"/>
      <c r="F43" s="44"/>
      <c r="G43" s="9"/>
      <c r="H43" s="19"/>
      <c r="I43" s="19"/>
      <c r="J43" s="19"/>
      <c r="K43" s="19"/>
      <c r="L43" s="19"/>
    </row>
    <row r="44" spans="1:12" x14ac:dyDescent="0.25">
      <c r="A44" s="52" t="s">
        <v>8</v>
      </c>
      <c r="B44" s="52"/>
      <c r="C44" s="51">
        <f>F8-F19</f>
        <v>-2441.9000000000015</v>
      </c>
      <c r="D44" s="51"/>
      <c r="E44" s="51"/>
      <c r="F44" s="51"/>
      <c r="H44" s="9"/>
      <c r="I44" s="9"/>
      <c r="J44" s="9"/>
      <c r="K44" s="9"/>
      <c r="L44" s="9"/>
    </row>
    <row r="45" spans="1:12" x14ac:dyDescent="0.25">
      <c r="A45" s="52"/>
      <c r="B45" s="52"/>
      <c r="C45" s="45" t="str">
        <f>IF(F19&gt;F8,"As despesas foram maiores que o previsto - explicar.", IF(F19&lt;F8-F8*10%,"As despesas foram substancialmente menores que o previsto - Explicar.","As despesas foram levemente menores que o previsto."))</f>
        <v>As despesas foram maiores que o previsto - explicar.</v>
      </c>
      <c r="D45" s="45"/>
      <c r="E45" s="45"/>
      <c r="F45" s="45"/>
      <c r="H45" s="35" t="s">
        <v>21</v>
      </c>
      <c r="I45" s="35"/>
      <c r="J45" s="35"/>
      <c r="K45" s="35"/>
      <c r="L45" s="35"/>
    </row>
    <row r="46" spans="1:12" x14ac:dyDescent="0.25">
      <c r="A46" s="52"/>
      <c r="B46" s="52"/>
      <c r="C46" s="45"/>
      <c r="D46" s="45"/>
      <c r="E46" s="45"/>
      <c r="F46" s="45"/>
      <c r="H46" s="9"/>
      <c r="I46" s="9"/>
      <c r="J46" s="9"/>
      <c r="K46" s="9"/>
      <c r="L46" s="9"/>
    </row>
    <row r="47" spans="1:12" x14ac:dyDescent="0.25">
      <c r="A47" s="50" t="s">
        <v>10</v>
      </c>
      <c r="B47" s="50"/>
      <c r="C47" s="48">
        <f>F25-F8</f>
        <v>1900</v>
      </c>
      <c r="D47" s="48"/>
      <c r="E47" s="48"/>
      <c r="F47" s="48"/>
      <c r="H47" s="35" t="s">
        <v>35</v>
      </c>
      <c r="I47" s="35"/>
      <c r="J47" s="35"/>
      <c r="K47" s="35"/>
      <c r="L47" s="35"/>
    </row>
    <row r="48" spans="1:12" x14ac:dyDescent="0.25">
      <c r="A48" s="50"/>
      <c r="B48" s="50"/>
      <c r="C48" s="49" t="str">
        <f>IF(
    F8 = F9 + F26,
    IF(
        F8 = F9,
        IF(
            F26 &gt; 0,
            CONCATENATE(
                "No que se refere as receitas, o Condomínio recebeu ",
                IF(
                    F9 / F8 - INT(F9 / F8) = 0,
                    TEXT(F9 / F8%, "#.##0,00"),
                    TEXT(F9 / F8%, "#.##,##")
                ),
                "% das cotas do mês, mais R$ ",
                IF(
                    OR(MOD(F26 * 100, 10) = 0, MOD(F26 * 1000, 100) = 0),
                    TEXT(F26, "#.##0,00"),
                    TEXT(F26, "#.##,##")
                ),
                " de cotas atrasadas de períodos anteriores, de modo que essas receitas ordinárias se realizaram dentro do total emitido para o mês.",
            ),
            CONCATENATE(
                "No que se refere as receitas, o Condomínio recebeu ",
                IF(
                    F9 / F8 - INT(F9 / F8) = 0,
                    TEXT(F9 / F8%, "#.##0,00"),
                    TEXT(F9 / F8%, "#.##,##")
                ),
                "% das cotas do mês, e não houve recebimento de cotas atrasadas de períodos anteriores, de modo que essas receitas ordinárias se realizaram dentro do total emitido para o mês.",
            )
        ),
  IF(
            F26 &gt; 0,
            CONCATENATE(
                "No que se refere as receitas, o Condomínio recebeu ",
                IF(
                    F9 / F8 - INT(F9 / F8) = 0,
                    TEXT(F9 / F8%, "#.##0,00"),
                    TEXT(F9 / F8%, "#.##,##")
                ),
                "% das cotas do mês (R$ ",
                IF(
                    OR(MOD(F9 * 100, 10) = 0, MOD(F9 * 1000, 100) = 0),
                    TEXT(F9, "#.##0,00"),
                    TEXT(F9, "#.##,##")
                ),
                "), mais R$ ",
                IF(
                    OR(MOD(F26 * 100, 10) = 0, MOD(F26 * 1000, 100) = 0),
                    TEXT(F26, "#.##0,00"),
                    TEXT(F26, "#.##,##")
                ),
                " de cotas atrasadas de períodos anteriores, de modo que essas receitas ordinárias se realizaram dentro do total emitido para o mês.",
            ),
            CONCATENATE(
                "No que se refere as receitas, o Condomínio recebeu ",
                IF(
                    F9 / F8 - INT(F9 / F8) = 0,
                    TEXT(F9 / F8%, "#.##0,00"),
                    TEXT(F9 / F8%, "#.##,##")
                ),
                "% das cotas do mês (R$ ",
                IF(
                    OR(MOD(F9 * 100, 10) = 0, MOD(F9 * 1000, 100) = 0),
                    TEXT(F9, "#.##0,00"),
                    TEXT(F9, "#.##,##")
                ),
                "), e não houve recebimento de cotas atrasadas de períodos anteriores, de modo que essas receitas ordinárias se realizaram dentro do total emitido para o mês.",
            )
        )
    ),
IF(
        F8 = F9,
        IF(
            F26 &gt; 0,
            CONCATENATE(
                "No que se refere as receitas, o Condomínio recebeu ",
                IF(
                    F9 / F8 - INT(F9 / F8) = 0,
                    TEXT(F9 / F8%, "#.##0,00"),
                    TEXT(F9 / F8%, "#.##,##")
                ),
                "% das cotas do mês, mais R$ ",
                IF(
                    OR(MOD(F26 * 100, 10) = 0, MOD(F26 * 1000, 100) = 0),
                    TEXT(F26, "#.##0,00"),
                    TEXT(F26, "#.##,##")
                ),
                " de cotas atrasadas de períodos anteriores",
                IF(
                    F9 + F26 &gt;= F8,
                    ", de modo que essas receitas ordinárias se realizaram acima do total emitido para o mês.",
                    ", de modo que essas receitas ordinárias se realizaram abaixo do total emitido para o mês."
                )
            ),
            CONCATENATE(
                "No que se refere as receitas, o Condomínio recebeu ",
                IF(
                    F9 / F8 - INT(F9 / F8) = 0,
                    TEXT(F9 / F8%, "#.##0,00"),
                    TEXT(F9 / F8%, "#.##,##")
                ),
                "% das cotas do mês, e não houve recebimento de cotas atrasadas de períodos anteriores",
                IF(
                    F9 + F26 &gt;= F8,
                    ", de modo que essas receitas ordinárias se realizaram acima do total emitido para o mês.",
                    ", de modo que essas receitas ordinárias se realizaram abaixo do total emitido para o mês."
                )
            )
        ),
        IF(
            F26 &gt; 0,
            CONCATENATE(
                "No que se refere as receitas, o Condomínio recebeu ",
                IF(
                    F9 / F8 - INT(F9 / F8) = 0,
                    TEXT(F9 / F8%, "#.##0,00"),
                    TEXT(F9 / F8%, "#.##,##")
                ),
                "% das cotas do mês (R$ ",
                IF(
                    OR(MOD(F9 * 100, 10) = 0, MOD(F9 * 1000, 100) = 0),
                    TEXT(F9, "#.##0,00"),
                    TEXT(F9, "#.##,##")
                ),
                "), mais R$ ",
                IF(
                    OR(MOD(F26 * 100, 10) = 0, MOD(F26 * 1000, 100) = 0),
                    TEXT(F26, "#.##0,00"),
                    TEXT(F26, "#.##,##")
                ),
                " de cotas atrasadas de períodos anteriores",
                IF(
                    F9 + F26 &gt;= F8,
                    ", de modo que essas receitas ordinárias superaram o total emitido para o mês.",
                    ", de modo que essas receitas ordinárias se realizaram abaixo do total emitido para o mês."
                )
            ),
            CONCATENATE(
                "No que se refere as receitas, o Condomínio recebeu ",
                IF(
                    F9 / F8 - INT(F9 / F8) = 0,
                    TEXT(F9 / F8%, "#.##0,00"),
                    TEXT(F9 / F8%, "#.##,##")
                ),
                "% das cotas do mês (R$ ",
                IF(
                    OR(MOD(F9 * 100, 10) = 0, MOD(F9 * 1000, 100) = 0),
                    TEXT(F9, "#.##0,00"),
                    TEXT(F9, "#.##,##")
                ),
                "), e não houve recebimento de cotas atrasadas de períodos anteriores",
                IF(
                    F9 + F26 &gt;= F8,
                    ", de modo que essas receitas ordinárias superaram o total emitido para o mês.",
                    ", de modo que essas receitas ordinárias se realizaram abaixo do total emitido para o mês."
                )
            )
        )
    )
)</f>
        <v>No que se refere as receitas, o Condomínio recebeu 90,12% das cotas do mês (R$ 38.737,00), e não houve recebimento de cotas atrasadas de períodos anteriores, de modo que essas receitas ordinárias se realizaram abaixo do total emitido para o mês.</v>
      </c>
      <c r="D48" s="49"/>
      <c r="E48" s="49"/>
      <c r="F48" s="49"/>
      <c r="H48" s="9"/>
      <c r="I48" s="9"/>
      <c r="J48" s="9"/>
      <c r="K48" s="9"/>
      <c r="L48" s="9"/>
    </row>
    <row r="49" spans="1:12" x14ac:dyDescent="0.25">
      <c r="A49" s="13"/>
      <c r="B49" s="13"/>
      <c r="C49" s="49"/>
      <c r="D49" s="49"/>
      <c r="E49" s="49"/>
      <c r="F49" s="49"/>
      <c r="H49" s="35" t="s">
        <v>34</v>
      </c>
      <c r="I49" s="35"/>
      <c r="J49" s="35"/>
      <c r="K49" s="35"/>
      <c r="L49" s="35"/>
    </row>
    <row r="50" spans="1:12" x14ac:dyDescent="0.25">
      <c r="A50" s="13"/>
      <c r="B50" s="13"/>
      <c r="C50" s="49"/>
      <c r="D50" s="49"/>
      <c r="E50" s="49"/>
      <c r="F50" s="49"/>
      <c r="H50" s="25"/>
      <c r="I50" s="25"/>
      <c r="J50" s="25"/>
      <c r="K50" s="25"/>
      <c r="L50" s="25"/>
    </row>
    <row r="51" spans="1:12" x14ac:dyDescent="0.25">
      <c r="A51" s="38" t="s">
        <v>9</v>
      </c>
      <c r="B51" s="38"/>
      <c r="C51" s="53" t="str">
        <f>IF(
    F9+F26 &lt; F8,
    IF(
        F23 = "SIM",
        IF(
            F25 &lt; (F8+F13),
            CONCATENATE("As receitas ordinárias totais, englobando todos os créditos contabilizados na conta ordinária, com exceção das receitas que são rateadas separadamente, ",C80,"se realizaram abaixo do previsto."),
            "De todo modo, as receitas ordinárias totais, englobando todos os créditos contabilizados na conta ordinária, com exceção das receitas que são rateadas separadamente, se realizaram acima do previsto."
        ),
        IF(
            F25 &lt; (F8+F13),
            CONCATENATE("As receitas ordinárias totais, englobando todos os créditos contabilizados na conta ordinária, ",C80,"se realizaram abaixo do previsto."),
            "De todo modo, as receitas ordinárias totais, englobando todos os créditos contabilizados na conta ordinária, se realizaram acima do previsto."
        )
    ),
    IF(
        F23 = "SIM",
        IF(
            F25 &lt; F8,
            "Contudo, as receitas ordinárias totais, englobando todos os créditos contabilizados na conta ordinária, com exceção das receitas que são rateadas separadamente, se realizaram abaixo do previsto.",
            CONCATENATE("As receitas ordinárias totais, englobando todos os créditos contabilizados na conta ordinária, com exceção das receitas que são rateadas separadamente, ",C80,"se realizaram acima do previsto.")
        ),
        IF(
            F25 &lt; F8,
            "Contudo, as receitas ordinárias totais, englobando todos os créditos contabilizados na conta ordinária, se realizaram abaixo do previsto.",
            CONCATENATE("As receitas ordinárias totais, englobando todos os créditos contabilizados na conta ordinária, ",C80,"se realizaram acima do previsto.")
        )
    )
)</f>
        <v>De todo modo, as receitas ordinárias totais, englobando todos os créditos contabilizados na conta ordinária, se realizaram acima do previsto.</v>
      </c>
      <c r="D51" s="53"/>
      <c r="E51" s="53"/>
      <c r="F51" s="53"/>
      <c r="H51" s="35" t="s">
        <v>33</v>
      </c>
      <c r="I51" s="35"/>
      <c r="J51" s="35"/>
      <c r="K51" s="35"/>
      <c r="L51" s="35"/>
    </row>
    <row r="52" spans="1:12" x14ac:dyDescent="0.25">
      <c r="A52" s="14"/>
      <c r="B52" s="14"/>
      <c r="C52" s="53"/>
      <c r="D52" s="53"/>
      <c r="E52" s="53"/>
      <c r="F52" s="53"/>
      <c r="H52" s="9"/>
      <c r="I52" s="9"/>
      <c r="J52" s="9"/>
      <c r="K52" s="9"/>
      <c r="L52" s="9"/>
    </row>
    <row r="53" spans="1:12" x14ac:dyDescent="0.25">
      <c r="A53" s="14"/>
      <c r="B53" s="14"/>
      <c r="C53" s="53"/>
      <c r="D53" s="53"/>
      <c r="E53" s="53"/>
      <c r="F53" s="53"/>
      <c r="H53" s="40"/>
      <c r="I53" s="40"/>
      <c r="J53" s="40"/>
      <c r="K53" s="40"/>
      <c r="L53" s="40"/>
    </row>
    <row r="54" spans="1:12" x14ac:dyDescent="0.25">
      <c r="A54" s="46" t="s">
        <v>19</v>
      </c>
      <c r="B54" s="46"/>
      <c r="C54" s="47" t="str">
        <f>IF(F23="SIM",", incluindo as rateadas separadamente,","")</f>
        <v/>
      </c>
      <c r="D54" s="47"/>
      <c r="E54" s="47"/>
      <c r="F54" s="47"/>
      <c r="H54" s="40"/>
      <c r="I54" s="40"/>
      <c r="J54" s="40"/>
      <c r="K54" s="40"/>
      <c r="L54" s="40"/>
    </row>
    <row r="55" spans="1:12" x14ac:dyDescent="0.25">
      <c r="A55" s="36" t="s">
        <v>12</v>
      </c>
      <c r="B55" s="36"/>
      <c r="C55" s="44" t="str">
        <f>IF(F24&gt;F18,IF(F24&gt;F18+F18*20%,"Atenção: As receitas rateadas separadamente foram pelo menos 20% maiores que a despesa. Necessário explicar, pois essa variação está contribuindo sobremaneira com a receita ordinária total","As receitas rateadas separadamente foram maiores que a despesa"),IF(F24&lt;F18-F18*20%,"Atenção: As receitas rateadas separadamente foram pelo menos 20% menores que a despesa. Necessário explicar, pois essa variação está prejudicando a receita ordinária total","As receitas rateadas separadamente foram menores que a despesa"))</f>
        <v>As receitas rateadas separadamente foram menores que a despesa</v>
      </c>
      <c r="D55" s="44"/>
      <c r="E55" s="44"/>
      <c r="F55" s="44"/>
      <c r="H55" s="40"/>
      <c r="I55" s="40"/>
      <c r="J55" s="40"/>
      <c r="K55" s="40"/>
      <c r="L55" s="40"/>
    </row>
    <row r="56" spans="1:12" x14ac:dyDescent="0.25">
      <c r="A56" s="38" t="s">
        <v>15</v>
      </c>
      <c r="B56" s="38"/>
      <c r="C56" s="21"/>
      <c r="D56" s="21"/>
      <c r="E56" s="21"/>
      <c r="F56" s="21">
        <f>F22-F16</f>
        <v>-541.90000000000146</v>
      </c>
      <c r="H56" s="40"/>
      <c r="I56" s="40"/>
      <c r="J56" s="40"/>
      <c r="K56" s="40"/>
      <c r="L56" s="40"/>
    </row>
    <row r="57" spans="1:12" x14ac:dyDescent="0.25">
      <c r="A57" s="38" t="s">
        <v>16</v>
      </c>
      <c r="B57" s="38"/>
      <c r="C57" s="22"/>
      <c r="D57" s="22"/>
      <c r="E57" s="22"/>
      <c r="F57" s="21">
        <f>F56*100/F22</f>
        <v>-1.2073075637740927</v>
      </c>
      <c r="H57" s="40"/>
      <c r="I57" s="40"/>
      <c r="J57" s="40"/>
      <c r="K57" s="40"/>
      <c r="L57" s="40"/>
    </row>
    <row r="58" spans="1:12" x14ac:dyDescent="0.25">
      <c r="A58" s="43" t="s">
        <v>17</v>
      </c>
      <c r="B58" s="43"/>
      <c r="C58" s="22"/>
      <c r="D58" s="22"/>
      <c r="E58" s="22"/>
      <c r="F58" s="22" t="str">
        <f>IF(F57&lt;0,"déficit","superávit")</f>
        <v>déficit</v>
      </c>
      <c r="H58" s="40"/>
      <c r="I58" s="40"/>
      <c r="J58" s="40"/>
      <c r="K58" s="40"/>
      <c r="L58" s="40"/>
    </row>
    <row r="59" spans="1:12" x14ac:dyDescent="0.25">
      <c r="A59" s="43" t="s">
        <v>18</v>
      </c>
      <c r="B59" s="43"/>
      <c r="C59" s="22"/>
      <c r="D59" s="22"/>
      <c r="E59" s="22"/>
      <c r="F59" s="22" t="str">
        <f>IF(F57&lt;0,"redução","aumento")</f>
        <v>redução</v>
      </c>
    </row>
    <row r="60" spans="1:12" x14ac:dyDescent="0.25">
      <c r="A60" s="41" t="s">
        <v>22</v>
      </c>
      <c r="B60" s="41"/>
      <c r="C60" s="42" t="str">
        <f>IF(F12="SIM", IF(AND((F8+F13)&gt;F25, F25&gt;F19), "Importante considerar que o superávit observado na conta ordinária ocorreu, pois embora as receitas tenham se realizado abaixo da previsão, as despesas totalizaram valor inferior ao previsto, e também abaixo das receitas do mês.",
IF(AND(F25&gt;F19, F19&gt;(F8+F13)), "Importante considerar que o superávit observado na conta ordinária ocorreu, pois as receitas superaram as despesas efetivas do mês, haja vista que essas despesas se realizaram acima da previsão orçamentária.",
IF(AND((F8+F13)&gt;F19, F25&gt;(F8+F13)), "Importante considerar que o superávit observado na conta ordinária, ocorreu pelo fato das despesas terem se realizado abaixo do previsto, e também pelo bom resultado das receitas, que superaram o previsto para o mês.", ""))),
IF(AND(F8&gt;F25, F25&gt;F19), "Importante considerar que o superávit observado na conta ordinária ocorreu, pois embora as receitas tenham se realizado abaixo da previsão, as despesas totalizaram valor inferior ao previsto, e também abaixo das receitas do mês.",
IF(AND(F25&gt;F19, F19&gt;F8), "Importante considerar que o superávit observado na conta ordinária ocorreu, pois as receitas superaram as despesas efetivas do mês, haja vista que essas despesas se realizaram acima da previsão orçamentária.",
IF(AND(F8&gt;F19, F25&gt;F8), "Importante considerar que o superávit observado na conta ordinária, ocorreu pelo fato das despesas terem se realizado abaixo do previsto, e também pelo bom resultado das receitas, que superaram o previsto para o mês.", "")))
 )</f>
        <v/>
      </c>
      <c r="D60" s="42"/>
      <c r="E60" s="42"/>
      <c r="F60" s="42"/>
      <c r="H60" s="31"/>
    </row>
    <row r="61" spans="1:12" x14ac:dyDescent="0.25">
      <c r="A61" s="41"/>
      <c r="B61" s="41"/>
      <c r="C61" s="42"/>
      <c r="D61" s="42"/>
      <c r="E61" s="42"/>
      <c r="F61" s="42"/>
    </row>
    <row r="62" spans="1:12" x14ac:dyDescent="0.25">
      <c r="A62" s="41"/>
      <c r="B62" s="41"/>
      <c r="C62" s="42"/>
      <c r="D62" s="42"/>
      <c r="E62" s="42"/>
      <c r="F62" s="42"/>
    </row>
    <row r="63" spans="1:12" x14ac:dyDescent="0.25">
      <c r="A63" s="41"/>
      <c r="B63" s="41"/>
      <c r="C63" s="42"/>
      <c r="D63" s="42"/>
      <c r="E63" s="42"/>
      <c r="F63" s="42"/>
    </row>
    <row r="64" spans="1:12" x14ac:dyDescent="0.25">
      <c r="A64" s="41"/>
      <c r="B64" s="41"/>
      <c r="C64" s="42" t="str">
        <f>IF(F12="SIM", IF(AND(F19&gt;F25, (F8+F13)&gt;F19), "Importante considerar que o déficit observado na conta ordinária ocorreu pois, embora as despesas tenham se realizado dentro da previsão, as receitas não tiveram um bom desempenho, e se realizaram abaixo do previsto.",
IF(AND(F19&gt;(F8+F13), (F8+F13)&gt;F25), "Importante considerar que o déficit observado na conta ordinária ocorreu pois, além das despesas terem se realizado acima da previsão, as receitas totalizaram valor inferior ao previsto, o que deve ser objeto de atenção e acompanhamento próximo.",
IF(AND(F19&gt;(F8+F13), F19&gt;F25), "Importante considerar que o déficit observado na conta ordinária ocorreu pois, embora as receitas tenham totalizado valor superior ao previsto, as despesas se realizaram acima da previsão, superando também as receitas efetivas.", ""))),
IF(AND(F19&gt;F25, F8&gt;F19), "Importante considerar que o déficit observado na conta ordinária ocorreu pois, embora as despesas tenham se realizado dentro da previsão, as receitas não tiveram um bom desempenho, e se realizaram abaixo do previsto.",
IF(AND(F19&gt;F8, F8&gt;F25), "Importante considerar que o déficit observado na conta ordinária ocorreu pois, além das despesas terem se realizado acima da previsão, as receitas totalizaram valor inferior ao previsto, o que deve ser objeto de atenção e acompanhamento próximo.",
IF(AND(F19&gt;F8, F19&gt;F25), "Importante considerar que o déficit observado na conta ordinária ocorreu pois, embora as receitas tenham totalizado valor superior ao previsto, as despesas se realizaram acima da previsão, superando também as receitas efetivas.", ""))) )</f>
        <v>Importante considerar que o déficit observado na conta ordinária ocorreu pois, embora as receitas tenham totalizado valor superior ao previsto, as despesas se realizaram acima da previsão, superando também as receitas efetivas.</v>
      </c>
      <c r="D64" s="42"/>
      <c r="E64" s="42"/>
      <c r="F64" s="42"/>
    </row>
    <row r="65" spans="1:6" x14ac:dyDescent="0.25">
      <c r="A65" s="41"/>
      <c r="B65" s="41"/>
      <c r="C65" s="42"/>
      <c r="D65" s="42"/>
      <c r="E65" s="42"/>
      <c r="F65" s="42"/>
    </row>
    <row r="66" spans="1:6" x14ac:dyDescent="0.25">
      <c r="A66" s="41"/>
      <c r="B66" s="41"/>
      <c r="C66" s="42"/>
      <c r="D66" s="42"/>
      <c r="E66" s="42"/>
      <c r="F66" s="42"/>
    </row>
    <row r="67" spans="1:6" x14ac:dyDescent="0.25">
      <c r="A67" s="41"/>
      <c r="B67" s="41"/>
      <c r="C67" s="42"/>
      <c r="D67" s="42"/>
      <c r="E67" s="42"/>
      <c r="F67" s="42"/>
    </row>
    <row r="68" spans="1:6" ht="15" customHeight="1" x14ac:dyDescent="0.25">
      <c r="A68" s="38" t="s">
        <v>38</v>
      </c>
      <c r="B68" s="38"/>
      <c r="C68" s="39" t="str">
        <f>CONCATENATE(
    "Vale ressaltar, que esse valor total recebido (R$ ",
    IF(
        OR(MOD(F25 * 100, 10) = 0, MOD(F25 * 1000, 100) = 0),
        TEXT(F25, "#.##0,00"),
        TEXT(F25, "#.##,##")
    ),
    ") compreende a transferência contábil de R$ ",
    IF(
        OR(MOD(F30 * 100, 10) = 0, MOD(F30 * 1000, 100) = 0),
        TEXT(F30, "#.##0,00"),
        TEXT(F30, "#.##,##")
    ),
    " realizada em favor da Conta Ordinária, proveniente da conta [ESPECIFICAR CONTA]. Essa transferência foi realizada, pois [EXPLICAR MOTIVO DA TRANSFERÊNCIA].",
    IF(
        F22 - F30 &lt; F16,
        CONCATENATE(
            " Caso essa transferência contábil não tivesse sido realizada, as receitas ordinárias totais seriam de R$ ",
            IF(
                OR(MOD((F22 - F30) * 100, 10) = 0, MOD((F22 - F30) * 1000, 100) = 0),
                TEXT((F22 - F30), "#.##0,00"),
                TEXT((F22 - F30), "#.##,##")
            ),
            ", abaixo das despesas totais do mês (R$ ",
            IF(
                OR(MOD(F16 * 100, 10) = 0, MOD(F16 * 1000, 100) = 0),
                TEXT(F16, "#.##0,00"),
                TEXT(F16, "#.##,##")
            ),
            ")."
        ),
        ""
    )
)</f>
        <v>Vale ressaltar, que esse valor total recebido (R$ 44.885,00) compreende a transferência contábil de R$ 0,00 realizada em favor da Conta Ordinária, proveniente da conta [ESPECIFICAR CONTA]. Essa transferência foi realizada, pois [EXPLICAR MOTIVO DA TRANSFERÊNCIA]. Caso essa transferência contábil não tivesse sido realizada, as receitas ordinárias totais seriam de R$ 44.885,00, abaixo das despesas totais do mês (R$ 45.426,90).</v>
      </c>
      <c r="D68" s="39"/>
      <c r="E68" s="39"/>
      <c r="F68" s="39"/>
    </row>
    <row r="69" spans="1:6" x14ac:dyDescent="0.25">
      <c r="A69" s="27"/>
      <c r="B69" s="27"/>
      <c r="C69" s="39"/>
      <c r="D69" s="39"/>
      <c r="E69" s="39"/>
      <c r="F69" s="39"/>
    </row>
    <row r="70" spans="1:6" x14ac:dyDescent="0.25">
      <c r="A70" s="27"/>
      <c r="B70" s="27"/>
      <c r="C70" s="39"/>
      <c r="D70" s="39"/>
      <c r="E70" s="39"/>
      <c r="F70" s="39"/>
    </row>
    <row r="71" spans="1:6" x14ac:dyDescent="0.25">
      <c r="A71" s="27"/>
      <c r="B71" s="27"/>
      <c r="C71" s="39"/>
      <c r="D71" s="39"/>
      <c r="E71" s="39"/>
      <c r="F71" s="39"/>
    </row>
    <row r="72" spans="1:6" x14ac:dyDescent="0.25">
      <c r="A72" s="27"/>
      <c r="B72" s="27"/>
      <c r="C72" s="39"/>
      <c r="D72" s="39"/>
      <c r="E72" s="39"/>
      <c r="F72" s="39"/>
    </row>
    <row r="73" spans="1:6" x14ac:dyDescent="0.25">
      <c r="A73" s="27"/>
      <c r="B73" s="27"/>
      <c r="C73" s="39"/>
      <c r="D73" s="39"/>
      <c r="E73" s="39"/>
      <c r="F73" s="39"/>
    </row>
    <row r="74" spans="1:6" x14ac:dyDescent="0.25">
      <c r="A74" s="36" t="s">
        <v>41</v>
      </c>
      <c r="B74" s="36"/>
      <c r="C74" s="37" t="str">
        <f>CONCATENATE(
    "Cumpre destacar, que o valor total recebido (R$ ",
    IF(
        OR(MOD(F25 * 100, 10) = 0, MOD(F25 * 1000, 100) = 0),
        TEXT(F25, "#.##0,00"),
        TEXT(F25, "#.##,##")
    ),
    ") considera a movimentação de cotas antecipadas:" &amp; CHAR(10) &amp;
    " - " &amp; A34 &amp; ": R$ " &amp;
    IF(
        OR(MOD(F34 * 100, 10) = 0, MOD(F34 * 1000, 100) = 0),
        TEXT(F34, "#.##0,00"),
        TEXT(F34, "#.##,##")
    ) &amp; " (+)" &amp; CHAR(10) &amp;
    " - " &amp; A35 &amp; ": R$ " &amp;
    IF(
        OR(MOD(F35 * 100, 10) = 0, MOD(F35 * 1000, 100) = 0),
        TEXT(F35, "#.##0,00"),
        TEXT(F35, "#.##,##")
    ) &amp; " (-)"
)</f>
        <v>Cumpre destacar, que o valor total recebido (R$ 44.885,00) considera a movimentação de cotas antecipadas:
 -  : R$ 0,00 (+)
 -  : R$ 0,00 (-)</v>
      </c>
      <c r="D74" s="37"/>
      <c r="E74" s="37"/>
      <c r="F74" s="37"/>
    </row>
    <row r="75" spans="1:6" x14ac:dyDescent="0.25">
      <c r="A75" s="28"/>
      <c r="B75" s="28"/>
      <c r="C75" s="37"/>
      <c r="D75" s="37"/>
      <c r="E75" s="37"/>
      <c r="F75" s="37"/>
    </row>
    <row r="76" spans="1:6" x14ac:dyDescent="0.25">
      <c r="A76" s="28"/>
      <c r="B76" s="28"/>
      <c r="C76" s="37"/>
      <c r="D76" s="37"/>
      <c r="E76" s="37"/>
      <c r="F76" s="37"/>
    </row>
    <row r="77" spans="1:6" x14ac:dyDescent="0.25">
      <c r="A77" s="28"/>
      <c r="B77" s="28"/>
      <c r="C77" s="37"/>
      <c r="D77" s="37"/>
      <c r="E77" s="37"/>
      <c r="F77" s="37"/>
    </row>
    <row r="78" spans="1:6" x14ac:dyDescent="0.25">
      <c r="A78" s="28"/>
      <c r="B78" s="28"/>
      <c r="C78" s="37"/>
      <c r="D78" s="37"/>
      <c r="E78" s="37"/>
      <c r="F78" s="37"/>
    </row>
    <row r="79" spans="1:6" x14ac:dyDescent="0.25">
      <c r="A79" s="28"/>
      <c r="B79" s="28"/>
      <c r="C79" s="37"/>
      <c r="D79" s="37"/>
      <c r="E79" s="37"/>
      <c r="F79" s="37"/>
    </row>
    <row r="80" spans="1:6" x14ac:dyDescent="0.25">
      <c r="A80" s="38" t="s">
        <v>42</v>
      </c>
      <c r="B80" s="38"/>
      <c r="C80" s="39" t="str">
        <f>IF(F22&gt;F8, IF(F9+F26&gt;F8, "também ", ""), IF(F22&lt;F8, IF(F9+F26&lt;F8, "também ", ""), ""))</f>
        <v/>
      </c>
      <c r="D80" s="39"/>
      <c r="E80" s="39"/>
      <c r="F80" s="39"/>
    </row>
    <row r="81" spans="1:6" ht="75" x14ac:dyDescent="0.25">
      <c r="A81" s="33" t="s">
        <v>43</v>
      </c>
      <c r="B81" s="32"/>
      <c r="C81" s="39"/>
      <c r="D81" s="39"/>
      <c r="E81" s="39"/>
      <c r="F81" s="39"/>
    </row>
  </sheetData>
  <mergeCells count="86">
    <mergeCell ref="A80:B80"/>
    <mergeCell ref="C80:F81"/>
    <mergeCell ref="H6:L6"/>
    <mergeCell ref="A7:F7"/>
    <mergeCell ref="A15:F15"/>
    <mergeCell ref="A12:E12"/>
    <mergeCell ref="A13:E13"/>
    <mergeCell ref="A11:F11"/>
    <mergeCell ref="H16:L17"/>
    <mergeCell ref="H18:L18"/>
    <mergeCell ref="A24:E24"/>
    <mergeCell ref="A22:E22"/>
    <mergeCell ref="A21:F21"/>
    <mergeCell ref="A23:E23"/>
    <mergeCell ref="H23:L27"/>
    <mergeCell ref="A26:E26"/>
    <mergeCell ref="A40:F40"/>
    <mergeCell ref="A38:E38"/>
    <mergeCell ref="A37:F37"/>
    <mergeCell ref="A29:E29"/>
    <mergeCell ref="A30:E30"/>
    <mergeCell ref="A28:F28"/>
    <mergeCell ref="A32:F32"/>
    <mergeCell ref="A33:E33"/>
    <mergeCell ref="A34:E34"/>
    <mergeCell ref="A35:E35"/>
    <mergeCell ref="H53:L53"/>
    <mergeCell ref="H54:L54"/>
    <mergeCell ref="H56:L56"/>
    <mergeCell ref="H57:L57"/>
    <mergeCell ref="A55:B55"/>
    <mergeCell ref="C55:F55"/>
    <mergeCell ref="A17:E17"/>
    <mergeCell ref="A18:E18"/>
    <mergeCell ref="A19:E19"/>
    <mergeCell ref="A25:E25"/>
    <mergeCell ref="H21:L22"/>
    <mergeCell ref="H19:L20"/>
    <mergeCell ref="H47:L47"/>
    <mergeCell ref="H45:L45"/>
    <mergeCell ref="H28:L31"/>
    <mergeCell ref="H38:L38"/>
    <mergeCell ref="H33:L36"/>
    <mergeCell ref="H39:L42"/>
    <mergeCell ref="H1:L2"/>
    <mergeCell ref="A1:F1"/>
    <mergeCell ref="H9:L11"/>
    <mergeCell ref="A8:E8"/>
    <mergeCell ref="A16:E16"/>
    <mergeCell ref="A2:F2"/>
    <mergeCell ref="A9:E9"/>
    <mergeCell ref="H7:L7"/>
    <mergeCell ref="A5:E5"/>
    <mergeCell ref="A4:F4"/>
    <mergeCell ref="H12:L12"/>
    <mergeCell ref="H13:L13"/>
    <mergeCell ref="H14:K14"/>
    <mergeCell ref="H3:L4"/>
    <mergeCell ref="H5:L5"/>
    <mergeCell ref="C41:F43"/>
    <mergeCell ref="C45:F46"/>
    <mergeCell ref="A54:B54"/>
    <mergeCell ref="C54:F54"/>
    <mergeCell ref="C47:F47"/>
    <mergeCell ref="C48:F50"/>
    <mergeCell ref="A47:B48"/>
    <mergeCell ref="C44:F44"/>
    <mergeCell ref="A44:B46"/>
    <mergeCell ref="A41:B41"/>
    <mergeCell ref="C51:F53"/>
    <mergeCell ref="H49:L49"/>
    <mergeCell ref="H51:L51"/>
    <mergeCell ref="A74:B74"/>
    <mergeCell ref="C74:F79"/>
    <mergeCell ref="A68:B68"/>
    <mergeCell ref="C68:F73"/>
    <mergeCell ref="H58:L58"/>
    <mergeCell ref="A60:B67"/>
    <mergeCell ref="C64:F67"/>
    <mergeCell ref="A59:B59"/>
    <mergeCell ref="C60:F63"/>
    <mergeCell ref="A51:B51"/>
    <mergeCell ref="H55:L55"/>
    <mergeCell ref="A56:B56"/>
    <mergeCell ref="A57:B57"/>
    <mergeCell ref="A58:B58"/>
  </mergeCells>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DADOS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dirger</dc:creator>
  <cp:lastModifiedBy>dirger</cp:lastModifiedBy>
  <dcterms:created xsi:type="dcterms:W3CDTF">2023-12-06T20:23:21Z</dcterms:created>
  <dcterms:modified xsi:type="dcterms:W3CDTF">2024-10-08T13:32:10Z</dcterms:modified>
</cp:coreProperties>
</file>